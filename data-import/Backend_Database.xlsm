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S:\Correspondence\Mahdi Ghandi\DOCS-DATA-APP\"/>
    </mc:Choice>
  </mc:AlternateContent>
  <xr:revisionPtr revIDLastSave="0" documentId="13_ncr:1_{0ED5417C-13B1-448B-BD86-0BE15BBC1996}" xr6:coauthVersionLast="47" xr6:coauthVersionMax="47" xr10:uidLastSave="{00000000-0000-0000-0000-000000000000}"/>
  <bookViews>
    <workbookView visibility="hidden" xWindow="-120" yWindow="-120" windowWidth="20640" windowHeight="11160" firstSheet="1" activeTab="3" xr2:uid="{00000000-000D-0000-FFFF-FFFF00000000}"/>
  </bookViews>
  <sheets>
    <sheet name="_Connection" sheetId="1" r:id="rId1"/>
    <sheet name="Customers" sheetId="2" r:id="rId2"/>
    <sheet name="Profile" sheetId="3" r:id="rId3"/>
    <sheet name="Journal" sheetId="4" r:id="rId4"/>
    <sheet name="Securities" sheetId="5" r:id="rId5"/>
    <sheet name="SecuritiesPrint" sheetId="6" r:id="rId6"/>
    <sheet name="Settings" sheetId="7" r:id="rId7"/>
    <sheet name="Guarantors" sheetId="8" r:id="rId8"/>
    <sheet name="CustomTasks" sheetId="9" r:id="rId9"/>
    <sheet name="Facilities" sheetId="10" r:id="rId10"/>
    <sheet name="GeneralProfiles" sheetId="11" r:id="rId11"/>
    <sheet name="GeneralChecklists" sheetId="12" r:id="rId12"/>
    <sheet name="GeneralChecklistItems" sheetId="13" r:id="rId13"/>
    <sheet name="Attachments" sheetId="14" r:id="rId14"/>
    <sheet name="CustomerProfileData" sheetId="15" r:id="rId15"/>
    <sheet name="CustomerProfile" sheetId="16" r:id="rId16"/>
    <sheet name="CustomerNotes" sheetId="17" r:id="rId17"/>
  </sheets>
  <definedNames>
    <definedName name="_xlnm.Print_Area" localSheetId="5">SecuritiesPrint!$A$2:$F$53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48" i="6" l="1"/>
  <c r="E41" i="6"/>
  <c r="D20" i="6"/>
  <c r="E13" i="6"/>
  <c r="B17" i="5"/>
  <c r="D46" i="6" s="1"/>
  <c r="C14" i="5"/>
  <c r="B14" i="5"/>
  <c r="D44" i="6" s="1"/>
  <c r="D6" i="5"/>
  <c r="C13" i="6" s="1"/>
  <c r="B6" i="5"/>
  <c r="C6" i="5" s="1"/>
  <c r="C41" i="6" s="1"/>
  <c r="B1" i="5"/>
  <c r="F10" i="6" s="1"/>
  <c r="D18" i="6" l="1"/>
  <c r="D16" i="6"/>
  <c r="F38" i="6"/>
</calcChain>
</file>

<file path=xl/sharedStrings.xml><?xml version="1.0" encoding="utf-8"?>
<sst xmlns="http://schemas.openxmlformats.org/spreadsheetml/2006/main" count="5624" uniqueCount="1536">
  <si>
    <t>BACKEND DATABASE</t>
  </si>
  <si>
    <t>Version:</t>
  </si>
  <si>
    <t>2.0</t>
  </si>
  <si>
    <t>Created:</t>
  </si>
  <si>
    <t>2025-12-10</t>
  </si>
  <si>
    <t>Type:</t>
  </si>
  <si>
    <t>Backend Database</t>
  </si>
  <si>
    <t>Account No</t>
  </si>
  <si>
    <t>Branch</t>
  </si>
  <si>
    <t>Category</t>
  </si>
  <si>
    <t>Account Name</t>
  </si>
  <si>
    <t>Corporate</t>
  </si>
  <si>
    <t>Nahil Electrical Branch</t>
  </si>
  <si>
    <t>First Action</t>
  </si>
  <si>
    <t>Last Action</t>
  </si>
  <si>
    <t>Total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</si>
  <si>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</si>
  <si>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</si>
  <si>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</si>
  <si>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</si>
  <si>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</si>
  <si>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</si>
  <si>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</si>
  <si>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</si>
  <si>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</si>
  <si>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Last User</t>
  </si>
  <si>
    <t>Record ID</t>
  </si>
  <si>
    <t>Item</t>
  </si>
  <si>
    <t>Status</t>
  </si>
  <si>
    <t>Date</t>
  </si>
  <si>
    <t>Time</t>
  </si>
  <si>
    <t>User</t>
  </si>
  <si>
    <t>Priority</t>
  </si>
  <si>
    <t>Notes</t>
  </si>
  <si>
    <t>Source</t>
  </si>
  <si>
    <t>Action</t>
  </si>
  <si>
    <t>--- Data Below ---</t>
  </si>
  <si>
    <t>DATE</t>
  </si>
  <si>
    <t>A/C HEAD</t>
  </si>
  <si>
    <t>SECURITIES &amp; PER CONTRA</t>
  </si>
  <si>
    <t>A/C NO:</t>
  </si>
  <si>
    <t>A/C NAME:</t>
  </si>
  <si>
    <t>BRANCH</t>
  </si>
  <si>
    <t>CHQ NO</t>
  </si>
  <si>
    <t>CHQ AMOUNT</t>
  </si>
  <si>
    <t>FACILITY ID</t>
  </si>
  <si>
    <t>CURRENCY</t>
  </si>
  <si>
    <t>AED</t>
  </si>
  <si>
    <t>S.No</t>
  </si>
  <si>
    <t>A/C No - LOAN No</t>
  </si>
  <si>
    <t>AMOUNT</t>
  </si>
  <si>
    <t>DATE:</t>
  </si>
  <si>
    <t>A/c No. :</t>
  </si>
  <si>
    <t>OUR REF:</t>
  </si>
  <si>
    <t>Prepared By.</t>
  </si>
  <si>
    <t>Authorized Signatures</t>
  </si>
  <si>
    <t>SYSTEM SETTINGS</t>
  </si>
  <si>
    <t>Password:</t>
  </si>
  <si>
    <t>BSI3535</t>
  </si>
  <si>
    <t>Status:</t>
  </si>
  <si>
    <t>UNLOCKED</t>
  </si>
  <si>
    <t xml:space="preserve">Jumeira Sports LLC </t>
  </si>
  <si>
    <t xml:space="preserve">M Z G Tyres Trading  </t>
  </si>
  <si>
    <t xml:space="preserve">F First Class Tyre </t>
  </si>
  <si>
    <t xml:space="preserve">Bin Moosa EST </t>
  </si>
  <si>
    <t xml:space="preserve">Al Ekhlas Tyres </t>
  </si>
  <si>
    <t xml:space="preserve">Al Feen Al Hadeeth </t>
  </si>
  <si>
    <t xml:space="preserve">Salah Al Din Tyres </t>
  </si>
  <si>
    <t xml:space="preserve">Bin Sharman G.T </t>
  </si>
  <si>
    <t>Al Ain Aluminium &amp; Glass</t>
  </si>
  <si>
    <t xml:space="preserve">Al Ferdous EST </t>
  </si>
  <si>
    <t xml:space="preserve">Al Ain Gift Markets </t>
  </si>
  <si>
    <t>Al Sahel Palstic Int</t>
  </si>
  <si>
    <t xml:space="preserve">Happy Home LLC Br </t>
  </si>
  <si>
    <t xml:space="preserve">Royal Domestic LLC </t>
  </si>
  <si>
    <t xml:space="preserve">Al Khaja  Stores </t>
  </si>
  <si>
    <t>Al Badar Auto Accessories</t>
  </si>
  <si>
    <t>Gulf Sky Auto Accessrs</t>
  </si>
  <si>
    <t xml:space="preserve">Watt Electrical </t>
  </si>
  <si>
    <t xml:space="preserve">Al Ain Glass &amp; Mirrorn CO </t>
  </si>
  <si>
    <t xml:space="preserve">Al Meeza Tyres Trading </t>
  </si>
  <si>
    <t xml:space="preserve">Motemedi Stores LLC </t>
  </si>
  <si>
    <t xml:space="preserve">Sky Auto Access </t>
  </si>
  <si>
    <t>Abu Yaser Stores Branch</t>
  </si>
  <si>
    <t>Full Option Tyre</t>
  </si>
  <si>
    <t xml:space="preserve">Happy Home Upholstery LLC  </t>
  </si>
  <si>
    <t xml:space="preserve">Golden Midwakh Smoking </t>
  </si>
  <si>
    <t xml:space="preserve">Individual </t>
  </si>
  <si>
    <t>Nasrin Atash &amp; Nahal D</t>
  </si>
  <si>
    <t xml:space="preserve">Surour Mohammed Khoori </t>
  </si>
  <si>
    <t xml:space="preserve">Yahya Mohammad Moradi </t>
  </si>
  <si>
    <t>Zeyad Khalil Hassan Zaghber</t>
  </si>
  <si>
    <t>Jasem A Arzhang &amp; Shirin</t>
  </si>
  <si>
    <t xml:space="preserve">Jasem A Arzhang </t>
  </si>
  <si>
    <t>Adnan Khalid Murad</t>
  </si>
  <si>
    <t>Salem Khamis Al Jalboubi</t>
  </si>
  <si>
    <t>Mohamad Ahmad Hazin</t>
  </si>
  <si>
    <t>Saghra Amrollah Dalman</t>
  </si>
  <si>
    <t>Mohd Telab Abounemr</t>
  </si>
  <si>
    <t>Yaghoub Mohd Aghil Khatibi</t>
  </si>
  <si>
    <t>Saif Abdulla Mohd Abunemr</t>
  </si>
  <si>
    <t>Ezatollah Abdollah Setoudeh</t>
  </si>
  <si>
    <t>Arsalan Hooshang N.</t>
  </si>
  <si>
    <t>Badia Bouhali</t>
  </si>
  <si>
    <t>Mhd Fayez Abdalla Abunemr</t>
  </si>
  <si>
    <t>Baharam Morteza Ghaedi</t>
  </si>
  <si>
    <t>Amro Mohammed Sabry A</t>
  </si>
  <si>
    <t xml:space="preserve">Yogesh Narendra Kumar </t>
  </si>
  <si>
    <t xml:space="preserve">Rafique Meah Tazul Islam </t>
  </si>
  <si>
    <t>Amro Mohammad Sabry</t>
  </si>
  <si>
    <t>Dadollah Mohammad</t>
  </si>
  <si>
    <t>Mir Shabbir Abbas</t>
  </si>
  <si>
    <t>Salem Khamis Aljalboubi</t>
  </si>
  <si>
    <t>Ahmad Yousof Ahmadi</t>
  </si>
  <si>
    <t>Muhammad Tufail Sadeeq</t>
  </si>
  <si>
    <t>MD Abdur Rahman Jamshid Ali</t>
  </si>
  <si>
    <t>Bahram Soleiman Sedighi</t>
  </si>
  <si>
    <t>Hamid Reza Gholam Abdian</t>
  </si>
  <si>
    <t>Mobinul Hoque E.</t>
  </si>
  <si>
    <t>Khaled M A Abumemer</t>
  </si>
  <si>
    <t>Abdolreza Gerami Jamali</t>
  </si>
  <si>
    <t>Abdollah Habib Asadi</t>
  </si>
  <si>
    <t>Essa Muhammad Yousaf</t>
  </si>
  <si>
    <t>Mokhtar Ebrahim M.</t>
  </si>
  <si>
    <t xml:space="preserve">Shaik Abdullah Abdul Wahab </t>
  </si>
  <si>
    <t>Sumon Hossain Mohammad Forkan</t>
  </si>
  <si>
    <t>Parviz Safi</t>
  </si>
  <si>
    <t>Machingal Abdul Hameed</t>
  </si>
  <si>
    <t>Jamshid Ahmad Ahmadi</t>
  </si>
  <si>
    <t>Mohamed Telab Abounemr</t>
  </si>
  <si>
    <t>Ali Jasem  Khalifi</t>
  </si>
  <si>
    <t>Abdu Rahiman Kunu Kunnath</t>
  </si>
  <si>
    <t>Mohammed Ali  Thazhathethil</t>
  </si>
  <si>
    <t>Houshang Ali Akbar Tamiz</t>
  </si>
  <si>
    <t>Ahmad Ullah Muhd Zada</t>
  </si>
  <si>
    <t>Mohd Abdelfatah Salami</t>
  </si>
  <si>
    <t>Mohammad Abdelfatah Salami</t>
  </si>
  <si>
    <t>Jasem Hamid Reza Sedaghat</t>
  </si>
  <si>
    <t>Umer Moideen Ponneth</t>
  </si>
  <si>
    <t>Suraj Muthraparambath</t>
  </si>
  <si>
    <t xml:space="preserve"> Shameem Mubarak </t>
  </si>
  <si>
    <t>Salman Hassan Molla</t>
  </si>
  <si>
    <t>Mehran Gholam Reza</t>
  </si>
  <si>
    <t>Gholamreza Mahmood Safi</t>
  </si>
  <si>
    <t>Kambiz Khozad Ebrahim</t>
  </si>
  <si>
    <t>Mahmoud Ibrahim Mohammad</t>
  </si>
  <si>
    <t>Bahman AbdolRahim Mir Shekari</t>
  </si>
  <si>
    <t>Mohammad Hasan Hasanpour</t>
  </si>
  <si>
    <t>Mustafa Mohammed Ali</t>
  </si>
  <si>
    <t>Mohammad Bahman Mirshekari</t>
  </si>
  <si>
    <t xml:space="preserve">Mohammad Reza Emadi </t>
  </si>
  <si>
    <t xml:space="preserve">Fatima Saeed Al Balooshi </t>
  </si>
  <si>
    <t>Sajjad Kamal Askari</t>
  </si>
  <si>
    <t>Mahmood Mustafa Ali</t>
  </si>
  <si>
    <t>Mansour Bahman Mirshekari</t>
  </si>
  <si>
    <t>Masoud Bahman Mirshekari</t>
  </si>
  <si>
    <t>Staff &amp; Individual</t>
  </si>
  <si>
    <t>Dadollah Seshanbeh Zareei</t>
  </si>
  <si>
    <t>Fatima Saeed Mhd Albalooshi</t>
  </si>
  <si>
    <t>Salma Murad Ahmed Ali</t>
  </si>
  <si>
    <t xml:space="preserve">Product Supply General Trading </t>
  </si>
  <si>
    <t xml:space="preserve">Mohammad Poor Nazari </t>
  </si>
  <si>
    <t>Mahmoud Rezaei Sarrigani</t>
  </si>
  <si>
    <t>Sulaiman Chettali</t>
  </si>
  <si>
    <t>Kaidi Esmaeil Khodadadi</t>
  </si>
  <si>
    <t>Hossain Barekat Fooladi</t>
  </si>
  <si>
    <t>Muzammil Shah Saudagar</t>
  </si>
  <si>
    <t>Khalid Mehmood S. Qureshi</t>
  </si>
  <si>
    <t>Adnan Karim Bakhsh</t>
  </si>
  <si>
    <t>Muhammad Nadeem Nazzir</t>
  </si>
  <si>
    <t>Ali Khaledi</t>
  </si>
  <si>
    <t>Nazeer Ahmed Akbar</t>
  </si>
  <si>
    <t>Mohd Safar Poor Nazari</t>
  </si>
  <si>
    <t>Abdolhossein Jomeh Ghavide</t>
  </si>
  <si>
    <t>Saleem Bashir</t>
  </si>
  <si>
    <t xml:space="preserve">Sheikh Muhammad Julfikar </t>
  </si>
  <si>
    <t>Khadeejah Aboulfazl</t>
  </si>
  <si>
    <t>Maryam Abdulla Hussain</t>
  </si>
  <si>
    <t>Naghmeh gholizadehsafar</t>
  </si>
  <si>
    <t>ShahMorad Torkamani Labani</t>
  </si>
  <si>
    <t xml:space="preserve">Dobral Commerce </t>
  </si>
  <si>
    <t xml:space="preserve">Sacks Steel Trading </t>
  </si>
  <si>
    <t xml:space="preserve">Masader General Trading </t>
  </si>
  <si>
    <t xml:space="preserve">Candid General Trading </t>
  </si>
  <si>
    <t xml:space="preserve">Sawan Trading </t>
  </si>
  <si>
    <t xml:space="preserve">Al Ghaf General Trading </t>
  </si>
  <si>
    <t xml:space="preserve">Sam Constraction Group </t>
  </si>
  <si>
    <t xml:space="preserve">Satarco Kish Trading </t>
  </si>
  <si>
    <t xml:space="preserve">Mosayeb &amp; Mohamed  F </t>
  </si>
  <si>
    <t xml:space="preserve">Paniz General Trading </t>
  </si>
  <si>
    <t xml:space="preserve">Al Jazira T &amp; T </t>
  </si>
  <si>
    <t>Al Noor Building Material Trading</t>
  </si>
  <si>
    <t>Amin Building Material</t>
  </si>
  <si>
    <t>Larzeneh Trading LLC</t>
  </si>
  <si>
    <t xml:space="preserve">Galaxy General Trading </t>
  </si>
  <si>
    <t>Mehdi Khanbaz BM</t>
  </si>
  <si>
    <t>Digi Training Inistitute</t>
  </si>
  <si>
    <t>Maven Mach FZE</t>
  </si>
  <si>
    <t>Rejuco Auto Spare</t>
  </si>
  <si>
    <t>Taj Mahal</t>
  </si>
  <si>
    <t>Satin Star Trading LLC</t>
  </si>
  <si>
    <t>EFCO Food &amp; Beverages</t>
  </si>
  <si>
    <t>Gravity Pharma Gen Tradg</t>
  </si>
  <si>
    <t>Meteor General Tading  LLC</t>
  </si>
  <si>
    <t xml:space="preserve">Mapna International FZE </t>
  </si>
  <si>
    <t xml:space="preserve">Al Qamar Al Ahmar </t>
  </si>
  <si>
    <t xml:space="preserve">Abdul Qader Faghihi </t>
  </si>
  <si>
    <t xml:space="preserve">Hossain Nazar Nejad </t>
  </si>
  <si>
    <t>Aftab Shamim</t>
  </si>
  <si>
    <t>Mehdi Sadeghi</t>
  </si>
  <si>
    <t>Zunaitha Banu</t>
  </si>
  <si>
    <t xml:space="preserve">Maryam Lashkari </t>
  </si>
  <si>
    <t>Dad Khoda Raisi</t>
  </si>
  <si>
    <t>Sikkandhar  Bathusa</t>
  </si>
  <si>
    <t>Abdul Qader Faghihi</t>
  </si>
  <si>
    <t>Syeda Afsheen Nadeem</t>
  </si>
  <si>
    <t>Kazem Abbas Rasouli</t>
  </si>
  <si>
    <t>Seyed Ammar Hosseini</t>
  </si>
  <si>
    <t>Nighat Shaheen Fatima</t>
  </si>
  <si>
    <t>Bilkesh Shakeel Kolhar</t>
  </si>
  <si>
    <t>Zubair Kartholi Parambath</t>
  </si>
  <si>
    <t>Ali Yar Kazem Khan G.</t>
  </si>
  <si>
    <t>Shaik Abdul Qursheed</t>
  </si>
  <si>
    <t>Yousef Padganeh</t>
  </si>
  <si>
    <t>Hassan Ahmad Estahbanati</t>
  </si>
  <si>
    <t>Shaghayegh Shafiee</t>
  </si>
  <si>
    <t>Farideh Hassan Rezaei</t>
  </si>
  <si>
    <t>Rahuman Sahul Hameed</t>
  </si>
  <si>
    <t>Heidar Akbar Dorraei</t>
  </si>
  <si>
    <t>Mohammad Khaleghi</t>
  </si>
  <si>
    <t>Abdolazim Seyyed Ramezi</t>
  </si>
  <si>
    <t xml:space="preserve">Fariborz Haghighi Talab </t>
  </si>
  <si>
    <t xml:space="preserve">Syeda Mehjabeen Fatima </t>
  </si>
  <si>
    <t>Abbas Mela Kalathil</t>
  </si>
  <si>
    <t>Sohrab Khorami</t>
  </si>
  <si>
    <t>Mohammad Ali Nooshazar</t>
  </si>
  <si>
    <t>Ali Nooshazar</t>
  </si>
  <si>
    <t>Mohd Siddique Salim</t>
  </si>
  <si>
    <t>Maryam Tahmaseb Norouzi</t>
  </si>
  <si>
    <t>Seyed Anwar  Akber</t>
  </si>
  <si>
    <t>Jamal Eshagh Raisi</t>
  </si>
  <si>
    <t>Shakil Ahmed Kolhar</t>
  </si>
  <si>
    <t>Ayesha Ibrahim Al seyed</t>
  </si>
  <si>
    <t>Salwa Mohd Yousif</t>
  </si>
  <si>
    <t>Waqas Ali Khan</t>
  </si>
  <si>
    <t xml:space="preserve">Aliyeh Mohammad Abyar </t>
  </si>
  <si>
    <t>Mohammad Ali Mohammadi</t>
  </si>
  <si>
    <t>Shahabeddin Hassan Ahmad</t>
  </si>
  <si>
    <t xml:space="preserve">Seyed Mohammad Mahfoozi </t>
  </si>
  <si>
    <t>Shojun Miha Abdul Karim</t>
  </si>
  <si>
    <t>Mozhgan Mohammad Ali</t>
  </si>
  <si>
    <t>Masouddeh Mahmoody Far</t>
  </si>
  <si>
    <t>Syed Haider Abaas Jafari</t>
  </si>
  <si>
    <t>Abdolghasem Mohammed</t>
  </si>
  <si>
    <t>Alice Memana Wilson</t>
  </si>
  <si>
    <t>Fariba Khorram Bakht</t>
  </si>
  <si>
    <t>Ershadul Karim</t>
  </si>
  <si>
    <t>Ehsanolla Mohammad Taghi</t>
  </si>
  <si>
    <t>Murtaza Ali Ghulam</t>
  </si>
  <si>
    <t>Misagh Abdolazim</t>
  </si>
  <si>
    <t>Salman Abbas Badri</t>
  </si>
  <si>
    <t>Mohammed Baisal Jamal</t>
  </si>
  <si>
    <t>Nasrin Mahmood Pour</t>
  </si>
  <si>
    <t>Syed Habib Ali Zaidi</t>
  </si>
  <si>
    <t>Seyed Mohammad Hossein</t>
  </si>
  <si>
    <t>Ayoub Abbas Salari</t>
  </si>
  <si>
    <t xml:space="preserve">Muhammad Bilal </t>
  </si>
  <si>
    <t xml:space="preserve">Fatima Ali Hassan </t>
  </si>
  <si>
    <t>Fajer Hashim A. B.</t>
  </si>
  <si>
    <t>Ibrahim Tarafi</t>
  </si>
  <si>
    <t>Noorah Darwish</t>
  </si>
  <si>
    <t xml:space="preserve">Fatma Mahmood Karmipoor </t>
  </si>
  <si>
    <t>Shahram Rahpish</t>
  </si>
  <si>
    <t>Muhammad Hussain Jalali</t>
  </si>
  <si>
    <t>Syed Shadab Hussain</t>
  </si>
  <si>
    <t>Ayesha Ibrahim Mohammed</t>
  </si>
  <si>
    <t>Jamil Hussain Jan</t>
  </si>
  <si>
    <t>Mohammad Mehdi Ghandi</t>
  </si>
  <si>
    <t>Salwa Mohd Juma</t>
  </si>
  <si>
    <t>Muhammad Farrukh Irfan</t>
  </si>
  <si>
    <t>Ayyaz Ahmed</t>
  </si>
  <si>
    <t xml:space="preserve">Sheikh Miyan </t>
  </si>
  <si>
    <t>Atif Mohammed Taj Mohd</t>
  </si>
  <si>
    <t>Syed Ibne Abbas Jafri</t>
  </si>
  <si>
    <t>Sayed Ibrahim Kundapor</t>
  </si>
  <si>
    <t xml:space="preserve">Alireza Mehvar </t>
  </si>
  <si>
    <t xml:space="preserve">Muhammad Asim </t>
  </si>
  <si>
    <t>Alireza Kaveh</t>
  </si>
  <si>
    <t>Mohammad Nadeem Alam</t>
  </si>
  <si>
    <t>Mir Waqas Ali Khan</t>
  </si>
  <si>
    <t>Naeimeh Gharabi Hashemi</t>
  </si>
  <si>
    <t>Muhammad Reza Amanullah</t>
  </si>
  <si>
    <t>Ebrahim Nakhaei</t>
  </si>
  <si>
    <t>Tasaddaq Hussain</t>
  </si>
  <si>
    <t>A. Parthasarathy</t>
  </si>
  <si>
    <t>Reem Mohammad Rasool</t>
  </si>
  <si>
    <t>Javeed Bhai Patel</t>
  </si>
  <si>
    <t>Mohammad Salah Barnak</t>
  </si>
  <si>
    <t>Toufan Shojaei Arani</t>
  </si>
  <si>
    <t>Iqbal Ahmed</t>
  </si>
  <si>
    <t>Maisam Zareei</t>
  </si>
  <si>
    <t>Syed Naqi Abbas Jafri</t>
  </si>
  <si>
    <t>Zohreh Estak</t>
  </si>
  <si>
    <t>Sadik Basha</t>
  </si>
  <si>
    <t>Safdar Imam Rizvi</t>
  </si>
  <si>
    <t>Abdulrahman Almarzooqi</t>
  </si>
  <si>
    <t>Fathima Ali Kutty</t>
  </si>
  <si>
    <t>Sakina Sadeghi Bahmani</t>
  </si>
  <si>
    <t>Mohideen Abdul Kadar Jailani</t>
  </si>
  <si>
    <t>Mohammad Tavasoli</t>
  </si>
  <si>
    <t>Syed Muhammad Qaisar</t>
  </si>
  <si>
    <t>Mozgan Ali Bardezh</t>
  </si>
  <si>
    <t>Balgheis Zaeri</t>
  </si>
  <si>
    <t>KP Mohammed Aslam</t>
  </si>
  <si>
    <t>Nazar Syed Mohammed</t>
  </si>
  <si>
    <t>Mozhgan Mohammad Goudarzi</t>
  </si>
  <si>
    <t>Agha Syed Hasan</t>
  </si>
  <si>
    <t>Salman Meghani Saleem</t>
  </si>
  <si>
    <t>Marjan Khademi Kamal</t>
  </si>
  <si>
    <t>Zaineb Akrdad Naruei</t>
  </si>
  <si>
    <t>Mohammad Ebrahim Bahram</t>
  </si>
  <si>
    <t>Abdollah Jafar Davoudi</t>
  </si>
  <si>
    <t xml:space="preserve">Zainab Saleh Essa </t>
  </si>
  <si>
    <t xml:space="preserve">Jamal Al Asma Baqala </t>
  </si>
  <si>
    <t xml:space="preserve">Azoora Fashion </t>
  </si>
  <si>
    <t xml:space="preserve">Al Khalooj Ladies </t>
  </si>
  <si>
    <t xml:space="preserve">Al Khalooj Tailoring </t>
  </si>
  <si>
    <t>Mohd Hassan Farajpour BW</t>
  </si>
  <si>
    <t xml:space="preserve">Noor Asadi Glass Branch </t>
  </si>
  <si>
    <t>Noor Asadi Glass Factory</t>
  </si>
  <si>
    <t xml:space="preserve">Abu Amir Furnishing Branch </t>
  </si>
  <si>
    <t xml:space="preserve">Asfahan Furnishing </t>
  </si>
  <si>
    <t xml:space="preserve">Sunrise Electronic </t>
  </si>
  <si>
    <t xml:space="preserve">Younus Foodstuff Tarading  </t>
  </si>
  <si>
    <t xml:space="preserve">Cairo Castel </t>
  </si>
  <si>
    <t xml:space="preserve">Abu Jaber Vej  . EST </t>
  </si>
  <si>
    <t xml:space="preserve">Glorious Glass Trading </t>
  </si>
  <si>
    <t xml:space="preserve">Baqalt Al Istiqlal LLC </t>
  </si>
  <si>
    <t xml:space="preserve">Alistiqlal Supermarket </t>
  </si>
  <si>
    <t>Garachi Trading Stores</t>
  </si>
  <si>
    <t xml:space="preserve">Concrete Trad For Sand </t>
  </si>
  <si>
    <t xml:space="preserve">Bin Ahmed Autospareparts </t>
  </si>
  <si>
    <t xml:space="preserve">Jahram Butchery </t>
  </si>
  <si>
    <t>Remal Al Bahar Bldg</t>
  </si>
  <si>
    <t xml:space="preserve">Remal Al Sahra </t>
  </si>
  <si>
    <t>Abdul Karim Shop LLC</t>
  </si>
  <si>
    <t>Degrees Sand &amp; Stone Trdg</t>
  </si>
  <si>
    <t xml:space="preserve">Isfahan Nights Restaurant </t>
  </si>
  <si>
    <t>Al Balloura Trading Company</t>
  </si>
  <si>
    <t>Aminul Islam Khairul</t>
  </si>
  <si>
    <t>Mohd Hassan Jafari</t>
  </si>
  <si>
    <t>Mohdhassan Tahmaseb Moradi</t>
  </si>
  <si>
    <t>Habibollah Bagher Kazemi</t>
  </si>
  <si>
    <t>Abdolmanaf Mehravaran</t>
  </si>
  <si>
    <t>Beman Ali Khoshnood</t>
  </si>
  <si>
    <t>Imelda Famisan May</t>
  </si>
  <si>
    <t>Ghasem Sohbatollah Gerashi</t>
  </si>
  <si>
    <t>Ali Rahmatollah Ranjbar</t>
  </si>
  <si>
    <t>Abdolrahman Ali R</t>
  </si>
  <si>
    <t>Muhammad Faisal Kazmi</t>
  </si>
  <si>
    <t>Feysal  Mohd Roveydar</t>
  </si>
  <si>
    <t>Samad Alibaz Nikounezhad</t>
  </si>
  <si>
    <t>Asadollah Faraj Faraji</t>
  </si>
  <si>
    <t>Hera Mahmud Md Afsar Uddin</t>
  </si>
  <si>
    <t>Mohammad Haider Reza</t>
  </si>
  <si>
    <t>Naser Safar Tanani</t>
  </si>
  <si>
    <t xml:space="preserve">Aboozar Gholamhossein </t>
  </si>
  <si>
    <t>Abdolreza Mohd Hassan</t>
  </si>
  <si>
    <t>Davoud Abdolhadi Daneshvaran</t>
  </si>
  <si>
    <t>Ali Abdolhadi Daneshvaran</t>
  </si>
  <si>
    <t>Alshab Shahajan Ebrahim</t>
  </si>
  <si>
    <t>Hossein Abollah Ghane</t>
  </si>
  <si>
    <t>Nigora Khojieva</t>
  </si>
  <si>
    <t>Abdolghafour Abdolrahman A.</t>
  </si>
  <si>
    <t>Yusuf Hussain</t>
  </si>
  <si>
    <t>Abdolazziz Amrollah Zadeh</t>
  </si>
  <si>
    <t>Abdollah Mehravaran</t>
  </si>
  <si>
    <t>Yaghoob Osman Ghanea</t>
  </si>
  <si>
    <t>Mohammad Abbas Zafari</t>
  </si>
  <si>
    <t>Masoud Sharaf Aboonajmi</t>
  </si>
  <si>
    <t>Mohammad Rasool Aboonajmi</t>
  </si>
  <si>
    <t xml:space="preserve">Turki Abdulrahman Abdulla </t>
  </si>
  <si>
    <t xml:space="preserve">Hormoz Hassan Ali </t>
  </si>
  <si>
    <t>AbdolAziz Hassan Khonji</t>
  </si>
  <si>
    <t>Abdolmajid Hassan Khonji</t>
  </si>
  <si>
    <t>Mohsen Ali Reza Ahmadi</t>
  </si>
  <si>
    <t>Makkiyeh Abdolreza Pirayeh</t>
  </si>
  <si>
    <t>Abdolfazl Hamid Reza</t>
  </si>
  <si>
    <t>Mahmoud Farahmand Nia</t>
  </si>
  <si>
    <t>Satheesan Palakkal</t>
  </si>
  <si>
    <t>Beverly Banana Lion</t>
  </si>
  <si>
    <t>Seyed Esmaeil Seyed</t>
  </si>
  <si>
    <t xml:space="preserve">Mohammad Shukor </t>
  </si>
  <si>
    <t>Hassan Rasool AbooNajmi</t>
  </si>
  <si>
    <t>Abdolrahman Ali Rahmani</t>
  </si>
  <si>
    <t xml:space="preserve">Ashad Mohammad </t>
  </si>
  <si>
    <t xml:space="preserve">Mohammad Abbas Zafari </t>
  </si>
  <si>
    <t>Zainab Zakeri</t>
  </si>
  <si>
    <t>Eshaq Bagheri</t>
  </si>
  <si>
    <t>Ashad Mohammed Hossain</t>
  </si>
  <si>
    <t>Jaber Kheyrollah Ghasemi</t>
  </si>
  <si>
    <t>Nader Abdol Setoodeh</t>
  </si>
  <si>
    <t>Naeim Zarouni G.T</t>
  </si>
  <si>
    <t xml:space="preserve">Malaysian Home Furniture </t>
  </si>
  <si>
    <t xml:space="preserve">Damam Electronics </t>
  </si>
  <si>
    <t xml:space="preserve">Mehran Furniture </t>
  </si>
  <si>
    <t xml:space="preserve">Alamdar Raesi </t>
  </si>
  <si>
    <t>Doulat &amp; Lachman &amp; Manoj S</t>
  </si>
  <si>
    <t>Mohammad Kazim Q. Mohd</t>
  </si>
  <si>
    <t>Anilkumar &amp; Nitesh Khatri</t>
  </si>
  <si>
    <t xml:space="preserve">Mehran Charkhi </t>
  </si>
  <si>
    <t>Anil Kumar Nagindas Khatri</t>
  </si>
  <si>
    <t>Mohammad Kazim Qaisullah</t>
  </si>
  <si>
    <t>Mehran Abdul Rahim</t>
  </si>
  <si>
    <t xml:space="preserve">Fayyaz Abbobkar Kazi </t>
  </si>
  <si>
    <t>Alichi Ali Asghar</t>
  </si>
  <si>
    <t>Hawra Sayed Eisa Al Jasmi</t>
  </si>
  <si>
    <t>Sameera Mohd Radea</t>
  </si>
  <si>
    <t>Hossein Haji Y. Kashkooli</t>
  </si>
  <si>
    <t>Ibramkhan Kader Bacha</t>
  </si>
  <si>
    <t xml:space="preserve">Farideh Attab Ahvazi </t>
  </si>
  <si>
    <t>Mohammad Ali Shaikhi</t>
  </si>
  <si>
    <t>Ali Asgar Mohamed Husen</t>
  </si>
  <si>
    <t>Mona Mohamed Ali</t>
  </si>
  <si>
    <t xml:space="preserve">Green Peral </t>
  </si>
  <si>
    <t xml:space="preserve">Madaen Carpets Trading </t>
  </si>
  <si>
    <t xml:space="preserve">Shuka General Trading </t>
  </si>
  <si>
    <t xml:space="preserve">Ahmed Karimian </t>
  </si>
  <si>
    <t xml:space="preserve">Ahmed Hussain Trading </t>
  </si>
  <si>
    <t>Gholam Hossein General Trading LLC</t>
  </si>
  <si>
    <t xml:space="preserve">Al Khat Al Wadheh </t>
  </si>
  <si>
    <t>Prima General Trading LLC</t>
  </si>
  <si>
    <t>Delza Household Trading LLC</t>
  </si>
  <si>
    <t xml:space="preserve">Al Rafa Trading </t>
  </si>
  <si>
    <t>Deepak Purshottam Bhatia</t>
  </si>
  <si>
    <t>Sikkandhar Bathusa</t>
  </si>
  <si>
    <t>Ramsha &amp; Shazia Najam</t>
  </si>
  <si>
    <t>Hossein Sayadi Zadeh</t>
  </si>
  <si>
    <t>Alireza Majid Ashrafi</t>
  </si>
  <si>
    <t>Parviz Kouhneshin</t>
  </si>
  <si>
    <t>MD Kalam Hossain</t>
  </si>
  <si>
    <t>Abdolrahim Ramazan Ahmadi</t>
  </si>
  <si>
    <t>Syed Asif Haider</t>
  </si>
  <si>
    <t>Abdul Latif Abdul Salam</t>
  </si>
  <si>
    <t>Omran Abdollah Abdollahi</t>
  </si>
  <si>
    <t>Nagoor Mydeen Maraikkar</t>
  </si>
  <si>
    <t>Imran Khan Munne Khan</t>
  </si>
  <si>
    <t xml:space="preserve">Muhammed Faruk Chungar </t>
  </si>
  <si>
    <t>Kamal Hossein Rezat</t>
  </si>
  <si>
    <t xml:space="preserve">Fazel Gholam Abbas </t>
  </si>
  <si>
    <t xml:space="preserve">Sayed Muzaffer Mehdi Rizvi </t>
  </si>
  <si>
    <t xml:space="preserve">Syed Asif Haider </t>
  </si>
  <si>
    <t>Syed Fayaz Ahmed</t>
  </si>
  <si>
    <t>Radhia Mahmood Sharif</t>
  </si>
  <si>
    <t xml:space="preserve">Najam ul Haq Pirzada  </t>
  </si>
  <si>
    <t>Mohammad Irfan Shaiki</t>
  </si>
  <si>
    <t xml:space="preserve">Madinat Nouf Tyres </t>
  </si>
  <si>
    <t xml:space="preserve">Al Jasmi Real Estate LLC </t>
  </si>
  <si>
    <t>Al Ain Glass &amp; Mirror Factory</t>
  </si>
  <si>
    <t xml:space="preserve">Al Muraija Coals </t>
  </si>
  <si>
    <t xml:space="preserve">Al Muhafadah Tyres </t>
  </si>
  <si>
    <t xml:space="preserve">Al Wafa Aluminium </t>
  </si>
  <si>
    <t xml:space="preserve">Naser House Hold </t>
  </si>
  <si>
    <t>Sameera Elect &amp; Sanit Mat</t>
  </si>
  <si>
    <t>Al Qaed International Gen Trdg</t>
  </si>
  <si>
    <t xml:space="preserve">Afshin Ahmadi Azad </t>
  </si>
  <si>
    <t xml:space="preserve">Mehrab Mohammadi </t>
  </si>
  <si>
    <t xml:space="preserve">Misba Uddin </t>
  </si>
  <si>
    <t>Sigravelan Ashok</t>
  </si>
  <si>
    <t xml:space="preserve">Gheysar Sarvari </t>
  </si>
  <si>
    <t xml:space="preserve">Habib Moaveni </t>
  </si>
  <si>
    <t>Abdul Razack Ajeezs</t>
  </si>
  <si>
    <t>Mujahid Razak</t>
  </si>
  <si>
    <t>Ali Bizhan Roozbehi</t>
  </si>
  <si>
    <t>Ebrahim Ghasemizadeh</t>
  </si>
  <si>
    <t>Subair Erachatt</t>
  </si>
  <si>
    <t>Muhammad Ibrahim Ayub</t>
  </si>
  <si>
    <t>Mohammed Hafiz Ali Khan</t>
  </si>
  <si>
    <t>Ahmed Addullah Al Raeesi</t>
  </si>
  <si>
    <t>Uppula Rajamouli</t>
  </si>
  <si>
    <t>Mohd Raja Sultan</t>
  </si>
  <si>
    <t>Saiful Islam Bepari</t>
  </si>
  <si>
    <t>Reza Akbar Nejad</t>
  </si>
  <si>
    <t>Sathyan Saiju</t>
  </si>
  <si>
    <t>Ali Abdollah Raeisi</t>
  </si>
  <si>
    <t>Shahul Rahman Alil Rahman</t>
  </si>
  <si>
    <t>Imam Bakhsh Baloch Rasul</t>
  </si>
  <si>
    <t xml:space="preserve">Ebrahim Aazami </t>
  </si>
  <si>
    <t>Basheer Ahmed Shahabudeen</t>
  </si>
  <si>
    <t xml:space="preserve">Mohammad Nabi Rajak </t>
  </si>
  <si>
    <t xml:space="preserve">Amirtham Pillai </t>
  </si>
  <si>
    <t>Gharib Siavashi</t>
  </si>
  <si>
    <t>Mohammad Ali Zarei</t>
  </si>
  <si>
    <t>Abdul Wahab Khan</t>
  </si>
  <si>
    <t>Elrashid Alaeldin Yagoub</t>
  </si>
  <si>
    <t>Yousef  K. Mansouri pour</t>
  </si>
  <si>
    <t>Basha Nazeer Mohamed Basha</t>
  </si>
  <si>
    <t>Mohammed Amjad Hussain</t>
  </si>
  <si>
    <t>Abdolmajid Farough</t>
  </si>
  <si>
    <t>Basheer Mohammed Qayyum</t>
  </si>
  <si>
    <t>Younos Khanbazi</t>
  </si>
  <si>
    <t>Hassan &amp; Aliakbar &amp; Morad</t>
  </si>
  <si>
    <t>Imran Mohammed</t>
  </si>
  <si>
    <t>Belal Ahmed Belal</t>
  </si>
  <si>
    <t>Shahzad Hussain Abdul Raja</t>
  </si>
  <si>
    <t>Khalid Masih</t>
  </si>
  <si>
    <t>Badri Hassan Ahmed</t>
  </si>
  <si>
    <t>Mohaideen Nagoor Meeran Ali</t>
  </si>
  <si>
    <t>Abdul Rasheed Shab Bir Pasha</t>
  </si>
  <si>
    <t>MD Dilwar Ali Haji</t>
  </si>
  <si>
    <t>Ibrar Shakoor Abdul Shakoor</t>
  </si>
  <si>
    <t>Ramesh Kumar Sambantham</t>
  </si>
  <si>
    <t>Ali Moosa Zareei</t>
  </si>
  <si>
    <t>Hossein Ebrahim Jahan Sara</t>
  </si>
  <si>
    <t>Shafiuddin Mohammed</t>
  </si>
  <si>
    <t xml:space="preserve">Ali Safikhani </t>
  </si>
  <si>
    <t>Sahab Uddin MD Jasim</t>
  </si>
  <si>
    <t>Balakrishnan Asari Valappil</t>
  </si>
  <si>
    <t>Hussein Suliman Ismail</t>
  </si>
  <si>
    <t>Mohammed Muslim Khokhar</t>
  </si>
  <si>
    <t>Shahul Hameed Jagabertheen</t>
  </si>
  <si>
    <t>Mohamed Jackria Kadersha</t>
  </si>
  <si>
    <t>Abdolkhalegh Dastafkan</t>
  </si>
  <si>
    <t>Kawsaor Miah Rois Ali</t>
  </si>
  <si>
    <t>Chaminda Anura Kumara Elapatha K M</t>
  </si>
  <si>
    <t>Gholamshah Ghitas Sarvari</t>
  </si>
  <si>
    <t>Farshid Mohammadnoor Akrami</t>
  </si>
  <si>
    <t>Ali Raza Qurban Ali</t>
  </si>
  <si>
    <t>Abdol Mashallah Akramy</t>
  </si>
  <si>
    <t>Muhammad Shafiq Mola Dad</t>
  </si>
  <si>
    <t>Mohammed Mujahid Ali</t>
  </si>
  <si>
    <t>Ahmed Babiker Omer Ali</t>
  </si>
  <si>
    <t>Dewan Sweet Dewan</t>
  </si>
  <si>
    <t>Liaquat Ali Amir</t>
  </si>
  <si>
    <t>Sabir Ahmed Mhd Akbar</t>
  </si>
  <si>
    <t>Yassir Mohamed Rahama</t>
  </si>
  <si>
    <t>Waqas Masih Hassan</t>
  </si>
  <si>
    <t>Justin Kebei MVO</t>
  </si>
  <si>
    <t>Mohd Sharif Sedaghat</t>
  </si>
  <si>
    <t>Mehir Sharif Gul Sharif</t>
  </si>
  <si>
    <t>Shamnad Ibrahim Kutty</t>
  </si>
  <si>
    <t>Jasim Uddin</t>
  </si>
  <si>
    <t>Muhammad Ijaz Zafar</t>
  </si>
  <si>
    <t>Mohammad Esa Hakim</t>
  </si>
  <si>
    <t>Waheed Ahmad Abdul Ghani</t>
  </si>
  <si>
    <t>Mohammed Akbar Babumiya</t>
  </si>
  <si>
    <t>Mohamed Ali Mohd Yousef</t>
  </si>
  <si>
    <t>Mohammed Anif</t>
  </si>
  <si>
    <t>Samad Heidar Kouhneshin</t>
  </si>
  <si>
    <t>Rasheed Shadulla</t>
  </si>
  <si>
    <t>Ejaj Abdul Jaleel</t>
  </si>
  <si>
    <t>Osama Osman Hamad Bashir</t>
  </si>
  <si>
    <t>Mohad Soliman Afasiabi</t>
  </si>
  <si>
    <t>Ali Ahmad Chakeri</t>
  </si>
  <si>
    <t>Abdul Ghaffar Ghulam Abbas</t>
  </si>
  <si>
    <t>Abdollah Mahmoud Sedaghat</t>
  </si>
  <si>
    <t>Hussain Sayed Murad</t>
  </si>
  <si>
    <t>Siraj Syed Syed Khaja</t>
  </si>
  <si>
    <t xml:space="preserve">Muhammad Azeem Muhammad </t>
  </si>
  <si>
    <t>Lila Mohammad Omar Akramy</t>
  </si>
  <si>
    <t>Mirza Morad Shahrasani</t>
  </si>
  <si>
    <t>Ahmed Abdulla Mohammed</t>
  </si>
  <si>
    <t>Ali Askar Safi Khani Igder</t>
  </si>
  <si>
    <t>Mohamed Salman Palligondai</t>
  </si>
  <si>
    <t>Munwar Hussain Nazir</t>
  </si>
  <si>
    <t>Sultan Syed Ibrahimi</t>
  </si>
  <si>
    <t>Bahavudeen Mohammed Farook</t>
  </si>
  <si>
    <t>Al Amin Newar Ali</t>
  </si>
  <si>
    <t>Ibrahim Bathusha</t>
  </si>
  <si>
    <t>Omid Jalal Salari</t>
  </si>
  <si>
    <t>Md Badruzzaman</t>
  </si>
  <si>
    <t>Payam Khademi</t>
  </si>
  <si>
    <t>Amin Sarvari</t>
  </si>
  <si>
    <t>Muhammad Naser Abdul Rahman</t>
  </si>
  <si>
    <t>Munasingha Arachchi Champa</t>
  </si>
  <si>
    <t>Mohamed Zaky Ahmed</t>
  </si>
  <si>
    <t xml:space="preserve">MuhammadShamraiz </t>
  </si>
  <si>
    <t>Khudadad Muhammad Mayar</t>
  </si>
  <si>
    <t xml:space="preserve">Chaminda Anura Kumara Elapatha  </t>
  </si>
  <si>
    <t>Kanann Balu Balu</t>
  </si>
  <si>
    <t>Muzamil Chathoth</t>
  </si>
  <si>
    <t>Mamon  Khan Muslim Khan</t>
  </si>
  <si>
    <t>Chariles Rengasamy Rengasamy</t>
  </si>
  <si>
    <t>Naufal Rahiman Dharkhasthu</t>
  </si>
  <si>
    <t>Abdullah Azadi Zadeh</t>
  </si>
  <si>
    <t>Gurjinder Singh Santosh Singh</t>
  </si>
  <si>
    <t>Suresh Sammindla Rajaiah</t>
  </si>
  <si>
    <t>Shoaib Aslam Muhammad Aslam</t>
  </si>
  <si>
    <t>AbdolSamad Lotfipoor</t>
  </si>
  <si>
    <t>Anish Kamalakshan Krishnan</t>
  </si>
  <si>
    <t xml:space="preserve">Nassiyabeevi Chengara Thott </t>
  </si>
  <si>
    <t>Maninder Pal Singh Devinder</t>
  </si>
  <si>
    <t>Shahul Hmeed Rahumathullah</t>
  </si>
  <si>
    <t>Abdoullah M. Azadizadeh</t>
  </si>
  <si>
    <t>Khawla Taimour Mohammed</t>
  </si>
  <si>
    <t>Noorah Aabdul Raahman</t>
  </si>
  <si>
    <t>Mariam Eisa Mohamed</t>
  </si>
  <si>
    <t>Kalthoum Hassan Ali</t>
  </si>
  <si>
    <t>Usman Khan Ayup</t>
  </si>
  <si>
    <t>Fedha Ahmed Mahmoud Albloushi</t>
  </si>
  <si>
    <t>Makia Ali M. Almarzooqi</t>
  </si>
  <si>
    <t>Nadeer Pallivalapil</t>
  </si>
  <si>
    <t>Zainab Yousef Abbas Al Raeesi</t>
  </si>
  <si>
    <t>Mohammad Faizal</t>
  </si>
  <si>
    <t xml:space="preserve">Former Trading </t>
  </si>
  <si>
    <t xml:space="preserve">Margoun General Trading </t>
  </si>
  <si>
    <t>Kharazmi Investment FZE</t>
  </si>
  <si>
    <t>Kababji Abo Ali</t>
  </si>
  <si>
    <t xml:space="preserve">Sadra Alnoor G W LLC </t>
  </si>
  <si>
    <t>Allahdad Kazem Hasani</t>
  </si>
  <si>
    <t>Sakina Zahedi</t>
  </si>
  <si>
    <t>Sahul Hameed Abdul Kadar</t>
  </si>
  <si>
    <t>Hassan Ali Ahmed Ali</t>
  </si>
  <si>
    <t>Alireza Abbas Aminifar</t>
  </si>
  <si>
    <t xml:space="preserve">Sakina Zahedi </t>
  </si>
  <si>
    <t xml:space="preserve">Fatima Yasmin </t>
  </si>
  <si>
    <t xml:space="preserve">Raza Muhammad </t>
  </si>
  <si>
    <t>Ammad Thilleri</t>
  </si>
  <si>
    <t xml:space="preserve">Hessa Ahmad Mohammed </t>
  </si>
  <si>
    <t>BLUE FLAME GENERAL TRADING</t>
  </si>
  <si>
    <t>FATHALI YOUSEF AHMADI</t>
  </si>
  <si>
    <t>DAR JALABIAT YASMINE LLC</t>
  </si>
  <si>
    <t>Individual</t>
  </si>
  <si>
    <t>20251210112910-604</t>
  </si>
  <si>
    <t>Offer Letter</t>
  </si>
  <si>
    <t>✓</t>
  </si>
  <si>
    <t>mahdi.ghandi</t>
  </si>
  <si>
    <t>Checklist</t>
  </si>
  <si>
    <t>Submit</t>
  </si>
  <si>
    <t>20251210112911-720</t>
  </si>
  <si>
    <t>Document Verification</t>
  </si>
  <si>
    <t>20251210112912-576</t>
  </si>
  <si>
    <t>Document Scanning</t>
  </si>
  <si>
    <t>20251210112913-425</t>
  </si>
  <si>
    <t>Add to Table</t>
  </si>
  <si>
    <t>20251210112913-418</t>
  </si>
  <si>
    <t>Central Folder Upload</t>
  </si>
  <si>
    <t>20251210112914-751</t>
  </si>
  <si>
    <t>Regulatory Document</t>
  </si>
  <si>
    <t>✗</t>
  </si>
  <si>
    <t>F.D SUPPORT FACILITY</t>
  </si>
  <si>
    <t>20251210112915-471</t>
  </si>
  <si>
    <t>K.Y.C</t>
  </si>
  <si>
    <t>⏳</t>
  </si>
  <si>
    <t>20251210112916-118</t>
  </si>
  <si>
    <t>Summary</t>
  </si>
  <si>
    <t>20251210112917-179</t>
  </si>
  <si>
    <t>Archive</t>
  </si>
  <si>
    <t>20251210114615-80</t>
  </si>
  <si>
    <t>20251210114616-48</t>
  </si>
  <si>
    <t>20251210114617-498</t>
  </si>
  <si>
    <t>20251210114736-103</t>
  </si>
  <si>
    <t>20251210114736-294</t>
  </si>
  <si>
    <t>20251210114737-4</t>
  </si>
  <si>
    <t>20251210114738-558</t>
  </si>
  <si>
    <t>20251210114739-204</t>
  </si>
  <si>
    <t>20251210114739-695</t>
  </si>
  <si>
    <t>20251210114740-816</t>
  </si>
  <si>
    <t>20251210114741-365</t>
  </si>
  <si>
    <t>20251210114742-494</t>
  </si>
  <si>
    <t>20251210120801-714</t>
  </si>
  <si>
    <t>20251210120802-953</t>
  </si>
  <si>
    <t>20251210120803-763</t>
  </si>
  <si>
    <t>20251210120803-39</t>
  </si>
  <si>
    <t>20251210120804-528</t>
  </si>
  <si>
    <t>20251210120805-696</t>
  </si>
  <si>
    <t>⌛</t>
  </si>
  <si>
    <t>20251210120806-456</t>
  </si>
  <si>
    <t>20251210120806-637</t>
  </si>
  <si>
    <t>20251210120807-738</t>
  </si>
  <si>
    <t>20251210122426-499</t>
  </si>
  <si>
    <t>20251210122427-442</t>
  </si>
  <si>
    <t>20251210122427-731</t>
  </si>
  <si>
    <t>20251210122428-133</t>
  </si>
  <si>
    <t>20251210122429-580</t>
  </si>
  <si>
    <t>20251210122430-609</t>
  </si>
  <si>
    <t>20251210122430-398</t>
  </si>
  <si>
    <t>20251210122431-21</t>
  </si>
  <si>
    <t>20251210122432-459</t>
  </si>
  <si>
    <t>GuarantorID</t>
  </si>
  <si>
    <t>AccountNo</t>
  </si>
  <si>
    <t>CustomerName</t>
  </si>
  <si>
    <t>GuarantorName</t>
  </si>
  <si>
    <t>GuarantorAccount</t>
  </si>
  <si>
    <t>ChequeNo</t>
  </si>
  <si>
    <t>ChequeAmount</t>
  </si>
  <si>
    <t>IssuingBank</t>
  </si>
  <si>
    <t>FD</t>
  </si>
  <si>
    <t>SecListRow</t>
  </si>
  <si>
    <t>SecListYear</t>
  </si>
  <si>
    <t>DateAdded</t>
  </si>
  <si>
    <t>BSI</t>
  </si>
  <si>
    <t>-</t>
  </si>
  <si>
    <t>AHMAD NOWROUZ JANGJOU</t>
  </si>
  <si>
    <t>AHMAD YOUSOF AHMADI</t>
  </si>
  <si>
    <t>20251211123812-5</t>
  </si>
  <si>
    <t>Guarantor Name:FATHALI YOUSEF AHMADI|CHQ:137852</t>
  </si>
  <si>
    <t>Securities</t>
  </si>
  <si>
    <t>Printed</t>
  </si>
  <si>
    <t>20251211123830-65</t>
  </si>
  <si>
    <t>Guarantor Name:AHMAD NOWROUZ JANGJOU|CHQ:137905</t>
  </si>
  <si>
    <t>20251211123844-602</t>
  </si>
  <si>
    <t>Guarantor Name:AHMAD YOUSOF AHMADI|CHQ:137853</t>
  </si>
  <si>
    <t>PIM 1251211000001</t>
  </si>
  <si>
    <t>G-452861-20251211131154-75</t>
  </si>
  <si>
    <t>YES</t>
  </si>
  <si>
    <t>G-452861-20251211131154-31</t>
  </si>
  <si>
    <t>NO</t>
  </si>
  <si>
    <t>G-452861-20251211131155-51</t>
  </si>
  <si>
    <t>20251211131608-943</t>
  </si>
  <si>
    <t>Borrower Name:FATHALI YOUSEF AHMADI|CHQ:137852</t>
  </si>
  <si>
    <t>20251211131638-833</t>
  </si>
  <si>
    <t>20251211131653-656</t>
  </si>
  <si>
    <t>20251211132524-178</t>
  </si>
  <si>
    <t>20251211132524-736</t>
  </si>
  <si>
    <t>20251211132525-426</t>
  </si>
  <si>
    <t>20251211132526-901</t>
  </si>
  <si>
    <t>20251211132527-283</t>
  </si>
  <si>
    <t>20251211132527-516</t>
  </si>
  <si>
    <t>CHQ:137853</t>
  </si>
  <si>
    <t>20251211132528-556</t>
  </si>
  <si>
    <t>20251211132529-214</t>
  </si>
  <si>
    <t>20251211132530-502</t>
  </si>
  <si>
    <t>G-452366-20251211133225-15</t>
  </si>
  <si>
    <t>BLC 1251211000003</t>
  </si>
  <si>
    <t>G-452366-20251211133226-9</t>
  </si>
  <si>
    <t>AL AIN GLASS AND MIRROR CO LLC</t>
  </si>
  <si>
    <t>G-452366-20251211133227-24</t>
  </si>
  <si>
    <t>ALAIN GLASS &amp; MIRRORS FACTORY LLC</t>
  </si>
  <si>
    <t>20251211133401-643</t>
  </si>
  <si>
    <t>Borrower Name:Al Ain Aluminium &amp; Glass|CHQ:126881</t>
  </si>
  <si>
    <t>20251211133420-485</t>
  </si>
  <si>
    <t>Guarantor Name:AL AIN GLASS AND MIRROR CO LLC|CHQ:134204</t>
  </si>
  <si>
    <t>20251211133522-438</t>
  </si>
  <si>
    <t>20251211133523-674</t>
  </si>
  <si>
    <t>20251211133524-632</t>
  </si>
  <si>
    <t>20251211133525-84</t>
  </si>
  <si>
    <t>Row:71</t>
  </si>
  <si>
    <t>20251211133525-627</t>
  </si>
  <si>
    <t>20251211133526-176</t>
  </si>
  <si>
    <t>CHQ:134204</t>
  </si>
  <si>
    <t>20251211133527-367</t>
  </si>
  <si>
    <t>20251211133528-864</t>
  </si>
  <si>
    <t>20251211133528-210</t>
  </si>
  <si>
    <t>20251211135848-564</t>
  </si>
  <si>
    <t>20251211135905-46</t>
  </si>
  <si>
    <t>20251211140617-669</t>
  </si>
  <si>
    <t>20251211140617-819</t>
  </si>
  <si>
    <t>20251211140618-134</t>
  </si>
  <si>
    <t>20251211140619-531</t>
  </si>
  <si>
    <t>20251211140620-253</t>
  </si>
  <si>
    <t>20251211140620-878</t>
  </si>
  <si>
    <t>20251211140621-126</t>
  </si>
  <si>
    <t>20251211140622-694</t>
  </si>
  <si>
    <t>20251211140623-90</t>
  </si>
  <si>
    <t>20251211150534-656</t>
  </si>
  <si>
    <t>20251211150535-274</t>
  </si>
  <si>
    <t>20251211150535-445</t>
  </si>
  <si>
    <t>20251211150536-714</t>
  </si>
  <si>
    <t>20251211150537-765</t>
  </si>
  <si>
    <t>20251211150538-808</t>
  </si>
  <si>
    <t>Regulatory Document (Contra)</t>
  </si>
  <si>
    <t>20251211150538-202</t>
  </si>
  <si>
    <t>20251211150539-76</t>
  </si>
  <si>
    <t>20251211150540-235</t>
  </si>
  <si>
    <t>20251211150550-116</t>
  </si>
  <si>
    <t>20251211150551-387</t>
  </si>
  <si>
    <t>20251211150552-193</t>
  </si>
  <si>
    <t>20251211150552-500</t>
  </si>
  <si>
    <t>20251211150553-579</t>
  </si>
  <si>
    <t>20251211150554-466</t>
  </si>
  <si>
    <t>20251211150555-502</t>
  </si>
  <si>
    <t>20251211150555-793</t>
  </si>
  <si>
    <t>20251211150556-94</t>
  </si>
  <si>
    <t>20251213093956-459</t>
  </si>
  <si>
    <t>20251213094001-116</t>
  </si>
  <si>
    <t>20251213094003-920</t>
  </si>
  <si>
    <t>20251213094004-454</t>
  </si>
  <si>
    <t>20251213094006-105</t>
  </si>
  <si>
    <t>20251213094008-826</t>
  </si>
  <si>
    <t>20251213094009-357</t>
  </si>
  <si>
    <t>20251213094010-695</t>
  </si>
  <si>
    <t>20251213094134-15</t>
  </si>
  <si>
    <t>20251213094136-657</t>
  </si>
  <si>
    <t>20251213094137-737</t>
  </si>
  <si>
    <t>20251213094140-946</t>
  </si>
  <si>
    <t>20251213094141-795</t>
  </si>
  <si>
    <t>20251213094142-240</t>
  </si>
  <si>
    <t>20251213094146-574</t>
  </si>
  <si>
    <t>20251213094149-570</t>
  </si>
  <si>
    <t>20251213094150-290</t>
  </si>
  <si>
    <t>20251213101101-452</t>
  </si>
  <si>
    <t>20251213101102-695</t>
  </si>
  <si>
    <t>20251213101103-427</t>
  </si>
  <si>
    <t>20251213101104-86</t>
  </si>
  <si>
    <t>20251213101104-767</t>
  </si>
  <si>
    <t>20251213101105-604</t>
  </si>
  <si>
    <t>20251213101106-259</t>
  </si>
  <si>
    <t>20251213101107-348</t>
  </si>
  <si>
    <t>20251213101215-968</t>
  </si>
  <si>
    <t>20251213101216-600</t>
  </si>
  <si>
    <t>20251213101216-235</t>
  </si>
  <si>
    <t>20251213101217-970</t>
  </si>
  <si>
    <t>20251213101218-321</t>
  </si>
  <si>
    <t>20251213101219-139</t>
  </si>
  <si>
    <t>20251213101220-537</t>
  </si>
  <si>
    <t>20251213101220-239</t>
  </si>
  <si>
    <t>20251213101221-710</t>
  </si>
  <si>
    <t>20251213101332-991</t>
  </si>
  <si>
    <t>20251213101533-326</t>
  </si>
  <si>
    <t>20251213101534-229</t>
  </si>
  <si>
    <t>20251213101535-178</t>
  </si>
  <si>
    <t>20251213101535-65</t>
  </si>
  <si>
    <t>20251213101536-407</t>
  </si>
  <si>
    <t>20251213101537-288</t>
  </si>
  <si>
    <t>20251213101538-481</t>
  </si>
  <si>
    <t>20251213101538-104</t>
  </si>
  <si>
    <t>20251213101539-353</t>
  </si>
  <si>
    <t>20251213101554-476</t>
  </si>
  <si>
    <t>20251213102656-763</t>
  </si>
  <si>
    <t>20251213102822-366</t>
  </si>
  <si>
    <t>20251213102931-921</t>
  </si>
  <si>
    <t>20251213103154-491</t>
  </si>
  <si>
    <t>20251213103211-285</t>
  </si>
  <si>
    <t>20251213103438-759</t>
  </si>
  <si>
    <t>20251213103438-146</t>
  </si>
  <si>
    <t>20251213103439-788</t>
  </si>
  <si>
    <t>20251213103440-0</t>
  </si>
  <si>
    <t>20251213103441-655</t>
  </si>
  <si>
    <t>20251213103441-721</t>
  </si>
  <si>
    <t>20251213103442-719</t>
  </si>
  <si>
    <t>20251213103443-412</t>
  </si>
  <si>
    <t>20251213103444-181</t>
  </si>
  <si>
    <t>20251213103536-223</t>
  </si>
  <si>
    <t>20251213103537-761</t>
  </si>
  <si>
    <t>20251213103538-205</t>
  </si>
  <si>
    <t>20251213103539-773</t>
  </si>
  <si>
    <t>20251213103539-915</t>
  </si>
  <si>
    <t>20251213103540-635</t>
  </si>
  <si>
    <t>20251213103541-985</t>
  </si>
  <si>
    <t>20251213103542-43</t>
  </si>
  <si>
    <t>20251213103542-175</t>
  </si>
  <si>
    <t>20251213103618-500</t>
  </si>
  <si>
    <t>20251213103619-224</t>
  </si>
  <si>
    <t>20251213103620-252</t>
  </si>
  <si>
    <t>20251213103621-461</t>
  </si>
  <si>
    <t>20251213103621-680</t>
  </si>
  <si>
    <t>20251213103622-14</t>
  </si>
  <si>
    <t>20251213103623-152</t>
  </si>
  <si>
    <t>20251213103624-524</t>
  </si>
  <si>
    <t>20251213103624-988</t>
  </si>
  <si>
    <t>20251213103645-775</t>
  </si>
  <si>
    <t>20251213103646-777</t>
  </si>
  <si>
    <t>20251213103647-16</t>
  </si>
  <si>
    <t>20251213103647-443</t>
  </si>
  <si>
    <t>20251213103648-868</t>
  </si>
  <si>
    <t>20251213103649-357</t>
  </si>
  <si>
    <t>20251213103649-691</t>
  </si>
  <si>
    <t>20251213103650-949</t>
  </si>
  <si>
    <t>20251213103651-715</t>
  </si>
  <si>
    <t>20251213104219-769</t>
  </si>
  <si>
    <t>20251213104220-604</t>
  </si>
  <si>
    <t>20251213104221-901</t>
  </si>
  <si>
    <t>20251213104222-888</t>
  </si>
  <si>
    <t>20251213104222-964</t>
  </si>
  <si>
    <t>20251213104223-906</t>
  </si>
  <si>
    <t>20251213104224-607</t>
  </si>
  <si>
    <t>20251213104225-346</t>
  </si>
  <si>
    <t>20251213104225-636</t>
  </si>
  <si>
    <t>20251213104730-124</t>
  </si>
  <si>
    <t>20251213104730-723</t>
  </si>
  <si>
    <t>20251213104731-136</t>
  </si>
  <si>
    <t>20251213104732-516</t>
  </si>
  <si>
    <t>20251213104733-432</t>
  </si>
  <si>
    <t>20251213104733-780</t>
  </si>
  <si>
    <t>20251213104734-401</t>
  </si>
  <si>
    <t>20251213104735-335</t>
  </si>
  <si>
    <t>20251213104736-857</t>
  </si>
  <si>
    <t>20251213104746-747</t>
  </si>
  <si>
    <t>20251213104747-807</t>
  </si>
  <si>
    <t>20251213104747-255</t>
  </si>
  <si>
    <t>20251213104748-819</t>
  </si>
  <si>
    <t>20251213104749-233</t>
  </si>
  <si>
    <t>20251213104750-390</t>
  </si>
  <si>
    <t>20251213104750-580</t>
  </si>
  <si>
    <t>20251213104751-61</t>
  </si>
  <si>
    <t>20251213104752-461</t>
  </si>
  <si>
    <t>20251213110126-763</t>
  </si>
  <si>
    <t>20251213110127-695</t>
  </si>
  <si>
    <t>20251213110127-466</t>
  </si>
  <si>
    <t>20251213110128-813</t>
  </si>
  <si>
    <t>20251213110129-829</t>
  </si>
  <si>
    <t>20251213110130-791</t>
  </si>
  <si>
    <t>20251213110130-986</t>
  </si>
  <si>
    <t>20251213110131-655</t>
  </si>
  <si>
    <t>20251213110132-198</t>
  </si>
  <si>
    <t>20251213110144-101</t>
  </si>
  <si>
    <t>20251213110144-532</t>
  </si>
  <si>
    <t>20251213110145-284</t>
  </si>
  <si>
    <t>20251213110146-946</t>
  </si>
  <si>
    <t>20251213110147-518</t>
  </si>
  <si>
    <t>20251213110147-876</t>
  </si>
  <si>
    <t>20251213110148-166</t>
  </si>
  <si>
    <t>20251213110149-417</t>
  </si>
  <si>
    <t>20251213111654-604</t>
  </si>
  <si>
    <t>20251213111655-347</t>
  </si>
  <si>
    <t>20251213111656-253</t>
  </si>
  <si>
    <t>20251213111656-805</t>
  </si>
  <si>
    <t>20251213111657-653</t>
  </si>
  <si>
    <t>20251213111658-681</t>
  </si>
  <si>
    <t>20251213111659-706</t>
  </si>
  <si>
    <t>20251213111659-112</t>
  </si>
  <si>
    <t>20251213111700-941</t>
  </si>
  <si>
    <t>20251213111807-842</t>
  </si>
  <si>
    <t>20251213111807-254</t>
  </si>
  <si>
    <t>20251213111808-678</t>
  </si>
  <si>
    <t>20251213111809-56</t>
  </si>
  <si>
    <t>20251213111810-58</t>
  </si>
  <si>
    <t>20251213111811-359</t>
  </si>
  <si>
    <t>20251213111811-350</t>
  </si>
  <si>
    <t>20251213111812-711</t>
  </si>
  <si>
    <t>20251213111813-200</t>
  </si>
  <si>
    <t>20251213120358-602</t>
  </si>
  <si>
    <t>20251213120359-842</t>
  </si>
  <si>
    <t>20251213120400-449</t>
  </si>
  <si>
    <t>20251213120401-550</t>
  </si>
  <si>
    <t>20251213120401-293</t>
  </si>
  <si>
    <t>20251213120402-317</t>
  </si>
  <si>
    <t>20251213120403-225</t>
  </si>
  <si>
    <t>20251213120404-376</t>
  </si>
  <si>
    <t>20251213120404-223</t>
  </si>
  <si>
    <t>20251213120746-499</t>
  </si>
  <si>
    <t>20251213120746-244</t>
  </si>
  <si>
    <t>20251213120747-996</t>
  </si>
  <si>
    <t>20251213120748-222</t>
  </si>
  <si>
    <t>20251213120749-604</t>
  </si>
  <si>
    <t>20251213120749-900</t>
  </si>
  <si>
    <t>20251213120750-189</t>
  </si>
  <si>
    <t>20251213120751-785</t>
  </si>
  <si>
    <t>20251213120752-134</t>
  </si>
  <si>
    <t>20251213120804-518</t>
  </si>
  <si>
    <t>20251213120804-280</t>
  </si>
  <si>
    <t>20251213120805-730</t>
  </si>
  <si>
    <t>20251213120806-703</t>
  </si>
  <si>
    <t>20251213120806-583</t>
  </si>
  <si>
    <t>20251213120807-168</t>
  </si>
  <si>
    <t>20251213120808-286</t>
  </si>
  <si>
    <t>20251213120809-243</t>
  </si>
  <si>
    <t>20251213120819-867</t>
  </si>
  <si>
    <t>20251213120820-302</t>
  </si>
  <si>
    <t>20251213120821-790</t>
  </si>
  <si>
    <t>20251213120822-292</t>
  </si>
  <si>
    <t>20251213120822-208</t>
  </si>
  <si>
    <t>20251213120823-509</t>
  </si>
  <si>
    <t>20251213120824-398</t>
  </si>
  <si>
    <t>20251213120825-635</t>
  </si>
  <si>
    <t>20251213120838-211</t>
  </si>
  <si>
    <t>20251213120839-568</t>
  </si>
  <si>
    <t>20251213120839-741</t>
  </si>
  <si>
    <t>20251213120840-443</t>
  </si>
  <si>
    <t>20251213120841-295</t>
  </si>
  <si>
    <t>20251213120842-63</t>
  </si>
  <si>
    <t>20251213120842-982</t>
  </si>
  <si>
    <t>20251213120843-295</t>
  </si>
  <si>
    <t>20251213120844-884</t>
  </si>
  <si>
    <t>20251215093732-878</t>
  </si>
  <si>
    <t>20251215093733-996</t>
  </si>
  <si>
    <t>20251215093734-227</t>
  </si>
  <si>
    <t>بعد از دریافت فرم سپرده از شعبه</t>
  </si>
  <si>
    <t>20251215093735-574</t>
  </si>
  <si>
    <t>20251215093735-505</t>
  </si>
  <si>
    <t>20251215093736-607</t>
  </si>
  <si>
    <t>20251215093737-748</t>
  </si>
  <si>
    <t>20251215093738-164</t>
  </si>
  <si>
    <t>20251215093738-949</t>
  </si>
  <si>
    <t>20251215093818-622</t>
  </si>
  <si>
    <t>20251215093819-827</t>
  </si>
  <si>
    <t>20251215093819-805</t>
  </si>
  <si>
    <t>20251215093820-717</t>
  </si>
  <si>
    <t>20251215093821-348</t>
  </si>
  <si>
    <t>20251215093822-119</t>
  </si>
  <si>
    <t>20251215093823-845</t>
  </si>
  <si>
    <t>20251215093824-503</t>
  </si>
  <si>
    <t>20251215093824-78</t>
  </si>
  <si>
    <t>20251215093913-976</t>
  </si>
  <si>
    <t>20251215093914-194</t>
  </si>
  <si>
    <t>20251215093915-831</t>
  </si>
  <si>
    <t>20251215093916-805</t>
  </si>
  <si>
    <t>20251215093916-684</t>
  </si>
  <si>
    <t>20251215093917-768</t>
  </si>
  <si>
    <t>20251215093918-260</t>
  </si>
  <si>
    <t>20251215093919-155</t>
  </si>
  <si>
    <t>20251215094321-363</t>
  </si>
  <si>
    <t>20251215094322-985</t>
  </si>
  <si>
    <t>20251215094323-33</t>
  </si>
  <si>
    <t>20251215094323-449</t>
  </si>
  <si>
    <t>20251215094324-451</t>
  </si>
  <si>
    <t>20251215094325-268</t>
  </si>
  <si>
    <t>20251215094326-905</t>
  </si>
  <si>
    <t>20251215094327-922</t>
  </si>
  <si>
    <t>20251215094328-520</t>
  </si>
  <si>
    <t>20251215094337-647</t>
  </si>
  <si>
    <t>20251215094338-719</t>
  </si>
  <si>
    <t>20251215094339-32</t>
  </si>
  <si>
    <t>20251215094339-267</t>
  </si>
  <si>
    <t>20251215094340-222</t>
  </si>
  <si>
    <t>20251215094341-397</t>
  </si>
  <si>
    <t>20251215094342-116</t>
  </si>
  <si>
    <t>20251215094343-626</t>
  </si>
  <si>
    <t>MOHAMMAD ALI GHANDI</t>
  </si>
  <si>
    <t>G-115295-20251215120015-52</t>
  </si>
  <si>
    <t>696,300/-</t>
  </si>
  <si>
    <t>G-115295-20251215120016-97</t>
  </si>
  <si>
    <t>HASSAN ASLAN NAZARI FARD</t>
  </si>
  <si>
    <t>BMI</t>
  </si>
  <si>
    <t>G-115295-20251215120016-13</t>
  </si>
  <si>
    <t>ABDOLLAH HASSANI SHANBEDI</t>
  </si>
  <si>
    <t>G-115295-20251215120017-30</t>
  </si>
  <si>
    <t>MEHDI KHANBAZ BUILDING</t>
  </si>
  <si>
    <t>20251215132324-18</t>
  </si>
  <si>
    <t>20251215132325-231</t>
  </si>
  <si>
    <t>20251215132326-962</t>
  </si>
  <si>
    <t>20251215132432-61</t>
  </si>
  <si>
    <t>20251215132433-421</t>
  </si>
  <si>
    <t>20251215132433-410</t>
  </si>
  <si>
    <t>20251215132434-390</t>
  </si>
  <si>
    <t>20251215132435-973</t>
  </si>
  <si>
    <t>20251215132436-64</t>
  </si>
  <si>
    <t>20251215132437-914</t>
  </si>
  <si>
    <t>20251215132437-105</t>
  </si>
  <si>
    <t>20251215132438-650</t>
  </si>
  <si>
    <t>20251215132618-862</t>
  </si>
  <si>
    <t>20251215132618-950</t>
  </si>
  <si>
    <t>20251215132619-866</t>
  </si>
  <si>
    <t>20251215132620-971</t>
  </si>
  <si>
    <t>20251215132621-388</t>
  </si>
  <si>
    <t>20251215132622-681</t>
  </si>
  <si>
    <t>20251215132622-151</t>
  </si>
  <si>
    <t>20251215132623-461</t>
  </si>
  <si>
    <t>در انتظار</t>
  </si>
  <si>
    <t>20251215132624-932</t>
  </si>
  <si>
    <t>20251215133406-996</t>
  </si>
  <si>
    <t>20251215133407-237</t>
  </si>
  <si>
    <t>20251215133408-760</t>
  </si>
  <si>
    <t>20251215133409-878</t>
  </si>
  <si>
    <t>20251215133410-710</t>
  </si>
  <si>
    <t>20251215133410-749</t>
  </si>
  <si>
    <t>20251215133411-467</t>
  </si>
  <si>
    <t>20251215133412-823</t>
  </si>
  <si>
    <t>تست</t>
  </si>
  <si>
    <t>20251215133413-499</t>
  </si>
  <si>
    <t>20251215133425-184</t>
  </si>
  <si>
    <t>20251215133426-970</t>
  </si>
  <si>
    <t>20251215133427-594</t>
  </si>
  <si>
    <t>20251215133428-237</t>
  </si>
  <si>
    <t>20251215133428-47</t>
  </si>
  <si>
    <t>20251215133429-491</t>
  </si>
  <si>
    <t>20251215133430-562</t>
  </si>
  <si>
    <t>20251215133431-235</t>
  </si>
  <si>
    <t>20251215133432-307</t>
  </si>
  <si>
    <t>20251215133513-549</t>
  </si>
  <si>
    <t>20251215133514-587</t>
  </si>
  <si>
    <t>20251215133514-987</t>
  </si>
  <si>
    <t>20251215133515-438</t>
  </si>
  <si>
    <t>20251215133515-995</t>
  </si>
  <si>
    <t>20251215133516-11</t>
  </si>
  <si>
    <t>20251215133516-114</t>
  </si>
  <si>
    <t>20251215133517-521</t>
  </si>
  <si>
    <t>20251215133517-68</t>
  </si>
  <si>
    <t>TaskID</t>
  </si>
  <si>
    <t>FacilityID</t>
  </si>
  <si>
    <t>TaskName</t>
  </si>
  <si>
    <t>FollowUpDate</t>
  </si>
  <si>
    <t>CreatedBy</t>
  </si>
  <si>
    <t>CreatedDate</t>
  </si>
  <si>
    <t>CompletedDate</t>
  </si>
  <si>
    <t>IsActive</t>
  </si>
  <si>
    <t>FacilityNo</t>
  </si>
  <si>
    <t>FacilityType</t>
  </si>
  <si>
    <t>ApprovalDate</t>
  </si>
  <si>
    <t>Amount</t>
  </si>
  <si>
    <t>Currency</t>
  </si>
  <si>
    <t>T-274214-20251216084137</t>
  </si>
  <si>
    <t>New Task</t>
  </si>
  <si>
    <t>23/12/2025</t>
  </si>
  <si>
    <t>Medium</t>
  </si>
  <si>
    <t>SUNRISE ELECTRONIC WHEE (354476)
ABU ALI BLACKMSITH WORKSHOP (352155)
ISFAHAN NIGHTS IRANIAN FOO (356790)</t>
  </si>
  <si>
    <t>354476
352155
356790</t>
  </si>
  <si>
    <t>129752
122682
122297</t>
  </si>
  <si>
    <t>1,800,000/-
360,000/-
360,000/-</t>
  </si>
  <si>
    <t>BSI
BSI
BSI</t>
  </si>
  <si>
    <t>G-354476-20251216105233-70</t>
  </si>
  <si>
    <t>1,800,000/-</t>
  </si>
  <si>
    <t>1,013,302/36</t>
  </si>
  <si>
    <t>182/4/1045/2025</t>
  </si>
  <si>
    <t>G-354476-20251216105234-53</t>
  </si>
  <si>
    <t>ABU ALI BLACKMSITH WORKSHOP</t>
  </si>
  <si>
    <t>360,000/-</t>
  </si>
  <si>
    <t>G-354476-20251216105235-57</t>
  </si>
  <si>
    <t>ISFAHAN NIGHTS IRANIAN FOOD RESTRNT</t>
  </si>
  <si>
    <t>20251216110114-386</t>
  </si>
  <si>
    <t>Borrower Name:Sunrise Electronic</t>
  </si>
  <si>
    <t>20251216110147-23</t>
  </si>
  <si>
    <t>Guarantor Name:ABU ALI BLACKMSITH WORKSHOP</t>
  </si>
  <si>
    <t>20251216110159-907</t>
  </si>
  <si>
    <t>Guarantor Name:ISFAHAN NIGHTS IRANIAN FOOD RESTRNT</t>
  </si>
  <si>
    <t>F-354476-20251216111534</t>
  </si>
  <si>
    <t>182/4/1045/2025 OFFER LETTER</t>
  </si>
  <si>
    <t>Overdraft</t>
  </si>
  <si>
    <t>13-11-2025</t>
  </si>
  <si>
    <t>1,500,000/-</t>
  </si>
  <si>
    <t>Active</t>
  </si>
  <si>
    <t>T-354476-20251216111658</t>
  </si>
  <si>
    <t>T-354476-20251216111812</t>
  </si>
  <si>
    <t>T-280000-20251216111937</t>
  </si>
  <si>
    <t>NNNN</t>
  </si>
  <si>
    <t>T-354476-20251216115400</t>
  </si>
  <si>
    <t>T-354476-20251216115423</t>
  </si>
  <si>
    <t>T-354476-20251216115429</t>
  </si>
  <si>
    <t>T-354476-20251216115453</t>
  </si>
  <si>
    <t>T-452590-20251216122312</t>
  </si>
  <si>
    <t>T-452590-20251216122318</t>
  </si>
  <si>
    <t>F-280000-20251216132528</t>
  </si>
  <si>
    <t>???</t>
  </si>
  <si>
    <t>Personal Loan</t>
  </si>
  <si>
    <t>16/12/2025</t>
  </si>
  <si>
    <t>T-354476-20251216132619</t>
  </si>
  <si>
    <t>T-354476-20251216132647</t>
  </si>
  <si>
    <t>T-354476-20251216132702</t>
  </si>
  <si>
    <t>LASSO TRADING LLC</t>
  </si>
  <si>
    <t>T-319631-20251216133218</t>
  </si>
  <si>
    <t>AL BERJAS TRADING LLC SPC</t>
  </si>
  <si>
    <t>F-451657-20251216135106</t>
  </si>
  <si>
    <t>182/4/1107/2025</t>
  </si>
  <si>
    <t>600,000/-</t>
  </si>
  <si>
    <t>F-110151-20251219112054</t>
  </si>
  <si>
    <t>182/4/1099/2025</t>
  </si>
  <si>
    <t>10,000,000/-</t>
  </si>
  <si>
    <t>18/12/2025</t>
  </si>
  <si>
    <t>186,000/-</t>
  </si>
  <si>
    <t>SYED MUZAFFER MEHDI RIZVI</t>
  </si>
  <si>
    <t>F-127927-20251220105724</t>
  </si>
  <si>
    <t>STF 1251218000001</t>
  </si>
  <si>
    <t>155,000/-</t>
  </si>
  <si>
    <t>G-127927-20251220111722-70</t>
  </si>
  <si>
    <t>G-127927-20251220111722-53</t>
  </si>
  <si>
    <t>20251220111742-143</t>
  </si>
  <si>
    <t>Borrower Name:Shakil Ahmed Kolhar</t>
  </si>
  <si>
    <t>20251220111815-574</t>
  </si>
  <si>
    <t>Guarantor Name:SYED MUZAFFER MEHDI RIZVI</t>
  </si>
  <si>
    <t>Row:198</t>
  </si>
  <si>
    <t>CHQ:334556</t>
  </si>
  <si>
    <t>SNo:282</t>
  </si>
  <si>
    <t>F-129449-20251220114303</t>
  </si>
  <si>
    <t>PIM 1251219000001</t>
  </si>
  <si>
    <t>19/12/2025</t>
  </si>
  <si>
    <t>75,000/-</t>
  </si>
  <si>
    <t>G-129449-20251220114603-62</t>
  </si>
  <si>
    <t>90,000/-</t>
  </si>
  <si>
    <t>G-129449-20251220114604-30</t>
  </si>
  <si>
    <t>JAMIL HUSSAIN JAN</t>
  </si>
  <si>
    <t>20251220114622-520</t>
  </si>
  <si>
    <t>Borrower Name:Tasaddaq Hussain</t>
  </si>
  <si>
    <t>20251220114649-960</t>
  </si>
  <si>
    <t>Guarantor Name:JAMIL HUSSAIN JAN</t>
  </si>
  <si>
    <t>CHQ:340166</t>
  </si>
  <si>
    <t>MOUSA ABDOLLAH ANARMOSHK</t>
  </si>
  <si>
    <t>F-471107-20251220121212</t>
  </si>
  <si>
    <t>PIM 1251220000001</t>
  </si>
  <si>
    <t>12,000/-</t>
  </si>
  <si>
    <t>G-471107-20251220121920-70</t>
  </si>
  <si>
    <t>14,400/-</t>
  </si>
  <si>
    <t>G-471107-20251220121921-53</t>
  </si>
  <si>
    <t>ABU YASER STORES  BRANCH</t>
  </si>
  <si>
    <t>20251220122317-341</t>
  </si>
  <si>
    <t>Borrower Name:MOUSA ABDOLLAH ANARMOSHK</t>
  </si>
  <si>
    <t>20251220122334-491</t>
  </si>
  <si>
    <t>Guarantor Name:ABU YASER STORES  BRANCH</t>
  </si>
  <si>
    <t>CHQ:136505</t>
  </si>
  <si>
    <t>SNo:284</t>
  </si>
  <si>
    <t>T-452590-20251222084510</t>
  </si>
  <si>
    <t>29/12/2025</t>
  </si>
  <si>
    <t>ProfileID</t>
  </si>
  <si>
    <t>ProfileName</t>
  </si>
  <si>
    <t>Description</t>
  </si>
  <si>
    <t>ChecklistCount</t>
  </si>
  <si>
    <t>LastModified</t>
  </si>
  <si>
    <t>ChecklistID</t>
  </si>
  <si>
    <t>ChecklistName</t>
  </si>
  <si>
    <t>ItemCount</t>
  </si>
  <si>
    <t>CompletedCount</t>
  </si>
  <si>
    <t>DueDate</t>
  </si>
  <si>
    <t>ItemID</t>
  </si>
  <si>
    <t>ItemOrder</t>
  </si>
  <si>
    <t>ItemTitle</t>
  </si>
  <si>
    <t>IsCompleted</t>
  </si>
  <si>
    <t>CompletedBy</t>
  </si>
  <si>
    <t>Attachment</t>
  </si>
  <si>
    <t>AttachmentID</t>
  </si>
  <si>
    <t>RowIndex</t>
  </si>
  <si>
    <t>FileName</t>
  </si>
  <si>
    <t>OriginalName</t>
  </si>
  <si>
    <t>FilePath</t>
  </si>
  <si>
    <t>FileSize</t>
  </si>
  <si>
    <t>UploadDate</t>
  </si>
  <si>
    <t>UploadedBy</t>
  </si>
  <si>
    <t>IsShared</t>
  </si>
  <si>
    <t>AccountType</t>
  </si>
  <si>
    <t>BusinessType</t>
  </si>
  <si>
    <t>Rating</t>
  </si>
  <si>
    <t>CallReport</t>
  </si>
  <si>
    <t>PreviousFiles</t>
  </si>
  <si>
    <t>LastUpdated</t>
  </si>
  <si>
    <t>TradeLicenseNo</t>
  </si>
  <si>
    <t>TradeLicenseIssue</t>
  </si>
  <si>
    <t>TradeLicenseExpiry</t>
  </si>
  <si>
    <t>TradeLicenseRemarks</t>
  </si>
  <si>
    <t>PassportNo</t>
  </si>
  <si>
    <t>PassportIssue</t>
  </si>
  <si>
    <t>PassportExpiry</t>
  </si>
  <si>
    <t>PassportRemarks</t>
  </si>
  <si>
    <t>EmiratesIDNo</t>
  </si>
  <si>
    <t>EmiratesIDIssue</t>
  </si>
  <si>
    <t>EmiratesIDExpiry</t>
  </si>
  <si>
    <t>EmiratesIDRemarks</t>
  </si>
  <si>
    <t>VisaNo</t>
  </si>
  <si>
    <t>VisaIssue</t>
  </si>
  <si>
    <t>VisaExpiry</t>
  </si>
  <si>
    <t>VisaRemarks</t>
  </si>
  <si>
    <t>TenancyNo</t>
  </si>
  <si>
    <t>TenancyIssue</t>
  </si>
  <si>
    <t>TenancyExpiry</t>
  </si>
  <si>
    <t>TenancyRemarks</t>
  </si>
  <si>
    <t>Partner1Name</t>
  </si>
  <si>
    <t>Partner1Nationality</t>
  </si>
  <si>
    <t>Partner1Share</t>
  </si>
  <si>
    <t>Partner2Name</t>
  </si>
  <si>
    <t>Partner2Nationality</t>
  </si>
  <si>
    <t>Partner2Share</t>
  </si>
  <si>
    <t>Partner3Name</t>
  </si>
  <si>
    <t>Partner3Nationality</t>
  </si>
  <si>
    <t>Partner3Share</t>
  </si>
  <si>
    <t>Partner4Name</t>
  </si>
  <si>
    <t>Partner4Nationality</t>
  </si>
  <si>
    <t>Partner4Share</t>
  </si>
  <si>
    <t>OD_Amount</t>
  </si>
  <si>
    <t>OD_Rate</t>
  </si>
  <si>
    <t>OD_Expiry</t>
  </si>
  <si>
    <t>OD_Notices</t>
  </si>
  <si>
    <t>Loan_Amount</t>
  </si>
  <si>
    <t>Loan_Rate</t>
  </si>
  <si>
    <t>Loan_Installments</t>
  </si>
  <si>
    <t>Loan_Maturity</t>
  </si>
  <si>
    <t>Loan_ApprovalDate</t>
  </si>
  <si>
    <t>ChqDisc_Amount</t>
  </si>
  <si>
    <t>ChqDisc_Rate</t>
  </si>
  <si>
    <t>ChqDisc_Expiry</t>
  </si>
  <si>
    <t>ChqDisc_Notices</t>
  </si>
  <si>
    <t>LG_Amount</t>
  </si>
  <si>
    <t>LG_Rate</t>
  </si>
  <si>
    <t>LG_Expiry</t>
  </si>
  <si>
    <t>LG_Notices</t>
  </si>
  <si>
    <t>TR_Amount</t>
  </si>
  <si>
    <t>TR_Rate</t>
  </si>
  <si>
    <t>TR_Expiry</t>
  </si>
  <si>
    <t>TR_Notices</t>
  </si>
  <si>
    <t>LC_Sight_Amount</t>
  </si>
  <si>
    <t>LC_Sight_Margin</t>
  </si>
  <si>
    <t>LC_Sight_Notices</t>
  </si>
  <si>
    <t>LC_Usance_Amount</t>
  </si>
  <si>
    <t>LC_Usance_Margin</t>
  </si>
  <si>
    <t>LC_Usance_Notices</t>
  </si>
  <si>
    <t>Sec_Underlien_AED</t>
  </si>
  <si>
    <t>Sec_Underlien_USD</t>
  </si>
  <si>
    <t>Sec_Underlien_IRR</t>
  </si>
  <si>
    <t>Sec_Underlien_Other</t>
  </si>
  <si>
    <t>Sec_Cheques_AED</t>
  </si>
  <si>
    <t>Sec_Cheques_USD</t>
  </si>
  <si>
    <t>Sec_Cheques_IRR</t>
  </si>
  <si>
    <t>Sec_Cheques_Other</t>
  </si>
  <si>
    <t>Sec_Collateral_AED</t>
  </si>
  <si>
    <t>Sec_Collateral_USD</t>
  </si>
  <si>
    <t>Sec_Collateral_IRR</t>
  </si>
  <si>
    <t>Sec_Collateral_Other</t>
  </si>
  <si>
    <t>Guarantor1Name</t>
  </si>
  <si>
    <t>Guarantor2Name</t>
  </si>
  <si>
    <t>Guarantor3Name</t>
  </si>
  <si>
    <t>HasGuarantors</t>
  </si>
  <si>
    <t>UndertakingFromGuarantors</t>
  </si>
  <si>
    <t>UndertakingFromPartners</t>
  </si>
  <si>
    <t>ProfileCompleteness</t>
  </si>
  <si>
    <t>MissingFields</t>
  </si>
  <si>
    <t>LastSection</t>
  </si>
  <si>
    <t>FUTURE DEAL GENERAL TRADING LLC</t>
  </si>
  <si>
    <t>F-500878-20251223142353</t>
  </si>
  <si>
    <t>OLD - CLASSIFIED</t>
  </si>
  <si>
    <t>OVERDRAFT</t>
  </si>
  <si>
    <t>T-500878-20251223142421</t>
  </si>
  <si>
    <t>تمدید بیمه پلاک ثبتی ۶۹۳۳/۳۵۱۱</t>
  </si>
  <si>
    <t>T-500878-20251223142815</t>
  </si>
  <si>
    <t>30/12/2025</t>
  </si>
  <si>
    <t>MOHAMMAD MEHDI GHANDI</t>
  </si>
  <si>
    <t>F-319631-20251223143605</t>
  </si>
  <si>
    <t>A/C CLOSED - TEST PROFILE</t>
  </si>
  <si>
    <t>BranchCode</t>
  </si>
  <si>
    <t>CustomerStatus</t>
  </si>
  <si>
    <t>OpenDate</t>
  </si>
  <si>
    <t>UpdatedBy</t>
  </si>
  <si>
    <t>TradeLicenseDocPath</t>
  </si>
  <si>
    <t>PassportNationality</t>
  </si>
  <si>
    <t>PassportDocPath</t>
  </si>
  <si>
    <t>EmiratesIDDocPath</t>
  </si>
  <si>
    <t>EmiratesIDGolden</t>
  </si>
  <si>
    <t>VisaType</t>
  </si>
  <si>
    <t>VisaDocPath</t>
  </si>
  <si>
    <t>TenancyAddress</t>
  </si>
  <si>
    <t>TenancyDocPath</t>
  </si>
  <si>
    <t>Partner5Name</t>
  </si>
  <si>
    <t>Partner5Nationality</t>
  </si>
  <si>
    <t>Partner5Share</t>
  </si>
  <si>
    <t>Partner6Name</t>
  </si>
  <si>
    <t>Partner6Nationality</t>
  </si>
  <si>
    <t>Partner6Share</t>
  </si>
  <si>
    <t>Partner7Name</t>
  </si>
  <si>
    <t>Partner7Nationality</t>
  </si>
  <si>
    <t>Partner7Share</t>
  </si>
  <si>
    <t>Partner8Name</t>
  </si>
  <si>
    <t>Partner8Nationality</t>
  </si>
  <si>
    <t>Partner8Share</t>
  </si>
  <si>
    <t>OD_ApprovalDate</t>
  </si>
  <si>
    <t>OD_FacilityID</t>
  </si>
  <si>
    <t>Loan_Type</t>
  </si>
  <si>
    <t>Loan_Notices</t>
  </si>
  <si>
    <t>Loan_FacilityID</t>
  </si>
  <si>
    <t>ChqDisc_FacilityID</t>
  </si>
  <si>
    <t>LG_FacilityID</t>
  </si>
  <si>
    <t>TR_FacilityID</t>
  </si>
  <si>
    <t>LC_Sight_Expiry</t>
  </si>
  <si>
    <t>LC_Sight_FacilityID</t>
  </si>
  <si>
    <t>LC_Usance_Expiry</t>
  </si>
  <si>
    <t>LC_Usance_FacilityID</t>
  </si>
  <si>
    <t>LoG_Amount</t>
  </si>
  <si>
    <t>LoG_Rate</t>
  </si>
  <si>
    <t>LoG_Expiry</t>
  </si>
  <si>
    <t>LoG_Notices</t>
  </si>
  <si>
    <t>LoG_FacilityID</t>
  </si>
  <si>
    <t>Sec_Underlien_Details</t>
  </si>
  <si>
    <t>Borrower_ChqNo</t>
  </si>
  <si>
    <t>Borrower_ChqAmount</t>
  </si>
  <si>
    <t>Borrower_ChqBank</t>
  </si>
  <si>
    <t>Borrower_ChqCurrency</t>
  </si>
  <si>
    <t>Borrower_ChqDate</t>
  </si>
  <si>
    <t>Sec_Cheques_AED_Total</t>
  </si>
  <si>
    <t>Sec_Cheques_USD_Total</t>
  </si>
  <si>
    <t>Sec_Cheques_IRR_Total</t>
  </si>
  <si>
    <t>Sec_Cheques_Count</t>
  </si>
  <si>
    <t>Sec_Cheques_Details</t>
  </si>
  <si>
    <t>Sec_Collateral_Details</t>
  </si>
  <si>
    <t>Property_No</t>
  </si>
  <si>
    <t>Property_Address</t>
  </si>
  <si>
    <t>Mortgage_Amount</t>
  </si>
  <si>
    <t>Mortgage_Bank</t>
  </si>
  <si>
    <t>Mortgage_Date</t>
  </si>
  <si>
    <t>Mortgage_DocPath</t>
  </si>
  <si>
    <t>Guarantor1_Name</t>
  </si>
  <si>
    <t>Guarantor1_Account</t>
  </si>
  <si>
    <t>Guarantor1_ChqNo</t>
  </si>
  <si>
    <t>Guarantor1_ChqAmount</t>
  </si>
  <si>
    <t>Guarantor2_Name</t>
  </si>
  <si>
    <t>Guarantor2_Account</t>
  </si>
  <si>
    <t>Guarantor2_ChqNo</t>
  </si>
  <si>
    <t>Guarantor2_ChqAmount</t>
  </si>
  <si>
    <t>Guarantor3_Name</t>
  </si>
  <si>
    <t>Guarantor3_Account</t>
  </si>
  <si>
    <t>Guarantor3_ChqNo</t>
  </si>
  <si>
    <t>Guarantor3_ChqAmount</t>
  </si>
  <si>
    <t>Guarantor4_Name</t>
  </si>
  <si>
    <t>Guarantor4_Account</t>
  </si>
  <si>
    <t>Guarantor4_ChqNo</t>
  </si>
  <si>
    <t>Guarantor4_ChqAmount</t>
  </si>
  <si>
    <t>Guarantor5_Name</t>
  </si>
  <si>
    <t>Guarantor5_Account</t>
  </si>
  <si>
    <t>Guarantor5_ChqNo</t>
  </si>
  <si>
    <t>Guarantor5_ChqAmount</t>
  </si>
  <si>
    <t>Guarantor6_Name</t>
  </si>
  <si>
    <t>Guarantor6_Account</t>
  </si>
  <si>
    <t>Guarantor6_ChqNo</t>
  </si>
  <si>
    <t>Guarantor6_ChqAmount</t>
  </si>
  <si>
    <t>Undertaking127</t>
  </si>
  <si>
    <t>Undertaking128</t>
  </si>
  <si>
    <t>CreditFacilityDoc</t>
  </si>
  <si>
    <t>OriginalOffer</t>
  </si>
  <si>
    <t>FDNumber</t>
  </si>
  <si>
    <t>Undertaking127_DocPath</t>
  </si>
  <si>
    <t>Undertaking128_DocPath</t>
  </si>
  <si>
    <t>CreditFacility_DocPath</t>
  </si>
  <si>
    <t>Attachment1_Name</t>
  </si>
  <si>
    <t>Attachment1_Path</t>
  </si>
  <si>
    <t>Attachment2_Name</t>
  </si>
  <si>
    <t>Attachment2_Path</t>
  </si>
  <si>
    <t>Attachment3_Name</t>
  </si>
  <si>
    <t>Attachment3_Path</t>
  </si>
  <si>
    <t>Attachment4_Name</t>
  </si>
  <si>
    <t>Attachment4_Path</t>
  </si>
  <si>
    <t>Attachment5_Name</t>
  </si>
  <si>
    <t>Attachment5_Path</t>
  </si>
  <si>
    <t>SecList_EntryDate</t>
  </si>
  <si>
    <t>SecList_RowNo</t>
  </si>
  <si>
    <t>SecList_Year</t>
  </si>
  <si>
    <t>SecList_Sheet</t>
  </si>
  <si>
    <t>SecList_LastUpdate</t>
  </si>
  <si>
    <t>SecList_Remarks</t>
  </si>
  <si>
    <t>KYC_EntryDate</t>
  </si>
  <si>
    <t>KYC_FileType</t>
  </si>
  <si>
    <t>KYC_Year</t>
  </si>
  <si>
    <t>KYC_Status</t>
  </si>
  <si>
    <t>KYC_LastCheck</t>
  </si>
  <si>
    <t>SummaryGenerated</t>
  </si>
  <si>
    <t>SummaryDate</t>
  </si>
  <si>
    <t>SummaryPath</t>
  </si>
  <si>
    <t>Reserved198</t>
  </si>
  <si>
    <t>Reserved199</t>
  </si>
  <si>
    <t>Reserved200</t>
  </si>
  <si>
    <t>NoteID</t>
  </si>
  <si>
    <t>Title</t>
  </si>
  <si>
    <t>Content</t>
  </si>
  <si>
    <t>ReminderDate</t>
  </si>
  <si>
    <t>F-115494-20251224144133</t>
  </si>
  <si>
    <t>Commercial Loan</t>
  </si>
  <si>
    <t>6,000,000/-</t>
  </si>
  <si>
    <t>F-452590-20251224144338</t>
  </si>
  <si>
    <t>80,000/-</t>
  </si>
  <si>
    <t>F-452861-20251224144517</t>
  </si>
  <si>
    <t>50,000/-</t>
  </si>
  <si>
    <t>F-452366-20251224144724</t>
  </si>
  <si>
    <t>100,000/-</t>
  </si>
  <si>
    <t>F-501857-20251224145727</t>
  </si>
  <si>
    <t>182/4/1140/2025</t>
  </si>
  <si>
    <t>ATT-20251224151038-11</t>
  </si>
  <si>
    <t>ATT-20251224151038-11_127927.pdf</t>
  </si>
  <si>
    <t>127927.pdf</t>
  </si>
  <si>
    <t>S:\Correspondence\Mahdi Ghandi\DOCS-DATA-APP\Attachments\127927\ATT-20251224151038-11_127927.pdf</t>
  </si>
  <si>
    <t>F-115543-20251225130803</t>
  </si>
  <si>
    <t>5,000,000/-</t>
  </si>
  <si>
    <t>در مرحله پیش مصوبه - 25-12-2025</t>
  </si>
  <si>
    <t>در مرحله پیش مصوبه 24-12-2025</t>
  </si>
  <si>
    <t>T-115494-20251225131055</t>
  </si>
  <si>
    <t>Make File</t>
  </si>
  <si>
    <t>T-115543-20251225131426</t>
  </si>
  <si>
    <t>MAKE FILE</t>
  </si>
  <si>
    <t>T-115543-20251225141810</t>
  </si>
  <si>
    <t>T-501857-20251226110150</t>
  </si>
  <si>
    <t>NEW RATIO FORM</t>
  </si>
  <si>
    <t>T-115543-20251226114655</t>
  </si>
  <si>
    <t>Item Description</t>
  </si>
  <si>
    <t>Date/Time</t>
  </si>
  <si>
    <t xml:space="preserve">Priority / SCAN </t>
  </si>
  <si>
    <t>SUNNY LAND GENERAL TRADING LLC</t>
  </si>
  <si>
    <t>F-157199-20251227104604</t>
  </si>
  <si>
    <t>T-157199-20251227104633</t>
  </si>
  <si>
    <t>تمدید بیمه نامه</t>
  </si>
  <si>
    <t>ایمیل درخواست به شعبه ارسال شد</t>
  </si>
  <si>
    <t>ATT-20251227105802-13</t>
  </si>
  <si>
    <t>ATT-20251227105802-13_4350-501857-MARGOUN G.T-11 12 2025.docx</t>
  </si>
  <si>
    <t>4350-501857-MARGOUN G.T-11 12 2025.docx</t>
  </si>
  <si>
    <t>S:\Correspondence\Mahdi Ghandi\DOCS-DATA-APP\Attachments\501857\ATT-20251227105802-13_4350-501857-MARGOUN G.T-11 12 2025.docx</t>
  </si>
  <si>
    <t>ATT-20251227110136-11</t>
  </si>
  <si>
    <t>ATT-20251227110136-11_501857 - Offer_Letter_MARGOUN_GENERAL_TRADING_LLC_20251224_110457.docx</t>
  </si>
  <si>
    <t>501857 - Offer_Letter_MARGOUN_GENERAL_TRADING_LLC_20251224_110457.docx</t>
  </si>
  <si>
    <t>S:\Correspondence\Mahdi Ghandi\DOCS-DATA-APP\Attachments\501857\ATT-20251227110136-11_501857 - Offer_Letter_MARGOUN_GENERAL_TRADING_LLC_20251224_110457.docx</t>
  </si>
  <si>
    <t>AL MA INTERNATIONAL CO LLC</t>
  </si>
  <si>
    <t>F-301440-20251227114030</t>
  </si>
  <si>
    <t>T-301440-20251227114050</t>
  </si>
  <si>
    <t>JT-20251230085236</t>
  </si>
  <si>
    <t>بیمه نامه</t>
  </si>
  <si>
    <t>انعکاس موافقت شعبه با تمدید بیمه نامه ملک</t>
  </si>
  <si>
    <t>J20251230085236</t>
  </si>
  <si>
    <t>DENIZ ASIA GENERAL TRADING LLC</t>
  </si>
  <si>
    <t>F-114748-20251231090010</t>
  </si>
  <si>
    <t>BLC-1251227000001</t>
  </si>
  <si>
    <t>27/11/2025</t>
  </si>
  <si>
    <t>A97096722</t>
  </si>
  <si>
    <t>27/10/1405</t>
  </si>
  <si>
    <t>784-1955-5807507-3</t>
  </si>
  <si>
    <t>13/05/2027</t>
  </si>
  <si>
    <t>SNo:144</t>
  </si>
  <si>
    <t>GENERAL TRADING</t>
  </si>
  <si>
    <t>C</t>
  </si>
  <si>
    <t>17/01/2022</t>
  </si>
  <si>
    <t>13/06/2024</t>
  </si>
  <si>
    <t>14/05/1998</t>
  </si>
  <si>
    <t>MAPNA INTERNATIONAL FZE</t>
  </si>
  <si>
    <t>U.A.E - COMPANY</t>
  </si>
  <si>
    <t>MOHSEN ATAE MIR SAMIEI</t>
  </si>
  <si>
    <t>7,585,000/-</t>
  </si>
  <si>
    <t>مدارک بایستی اصلاح گردد</t>
  </si>
  <si>
    <t>G-451657-20260103105329-70</t>
  </si>
  <si>
    <t>1741-451657-646</t>
  </si>
  <si>
    <t>Row:6</t>
  </si>
  <si>
    <t>BK9896013</t>
  </si>
  <si>
    <t>26/06/2026</t>
  </si>
  <si>
    <t>19/12/2032</t>
  </si>
  <si>
    <t>27/07/2030</t>
  </si>
  <si>
    <t>30/12/2026</t>
  </si>
  <si>
    <t>HOUSE FURNITURE, SALE OF WARE &amp; CLOTHS &amp;BLANKET</t>
  </si>
  <si>
    <t>MOHSIN RAZA TAHIR SAYEED</t>
  </si>
  <si>
    <t>PAKISTAN</t>
  </si>
  <si>
    <t>ABDUL RAHIM SHER AMAN SHER AMAN</t>
  </si>
  <si>
    <t>F-218434-20260105143222</t>
  </si>
  <si>
    <t>15,000/-</t>
  </si>
  <si>
    <t>MAZEED MOHAMMED ABDUL HAFEEZ</t>
  </si>
  <si>
    <t>F-324165-20260105151155</t>
  </si>
  <si>
    <t>25/12/2025</t>
  </si>
  <si>
    <t>صفحه 2 فرم قرار داد وام باید جای 48 ماه، 24 ماه ثبت شود- به شعبه اطلاع داده شد</t>
  </si>
  <si>
    <t>PARTY TIME TRADING LLC</t>
  </si>
  <si>
    <t>F-158437-20260109090552</t>
  </si>
  <si>
    <t>200,000/-</t>
  </si>
  <si>
    <t>PIM-126010900001</t>
  </si>
  <si>
    <t>PIM-1260109000001</t>
  </si>
  <si>
    <t>G-218434-20260110092933-70</t>
  </si>
  <si>
    <t>18,000/-</t>
  </si>
  <si>
    <t>G-218434-20260110092933-53</t>
  </si>
  <si>
    <t>MUFEED IQBAL SHAKIR ULLAH</t>
  </si>
  <si>
    <t>20260110093309-244</t>
  </si>
  <si>
    <t>Borrower Name:ABDUL RAHIM SHER AMAN SHER AMAN</t>
  </si>
  <si>
    <t>20260110094557-229</t>
  </si>
  <si>
    <t>Guarantor Name:MUFEED IQBAL SHAKIR ULLAH</t>
  </si>
  <si>
    <t>AX5123843</t>
  </si>
  <si>
    <t>16/01/2027</t>
  </si>
  <si>
    <t>784-1973-14604709</t>
  </si>
  <si>
    <t>Borrower Name</t>
  </si>
  <si>
    <t>20260110101339-706</t>
  </si>
  <si>
    <t>CHQ:784420</t>
  </si>
  <si>
    <t>F-323667-20260110103157</t>
  </si>
  <si>
    <t>15 months</t>
  </si>
  <si>
    <t>10,000/-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</si>
</sst>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"/>
  </numFmts>
  <fonts count="2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1"/>
      <color rgb="FFFFFFFF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b/>
      <sz val="12"/>
      <color rgb="FF008000"/>
      <name val="Calibri"/>
      <family val="2"/>
    </font>
    <font>
      <b/>
      <i/>
      <sz val="12"/>
      <color rgb="FF008000"/>
      <name val="Calibri"/>
      <family val="2"/>
    </font>
    <font>
      <sz val="11"/>
      <color theme="1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0"/>
      <name val="Arial"/>
      <family val="2"/>
    </font>
    <font>
      <sz val="10.5"/>
      <color theme="1"/>
      <name val="Times New Roman"/>
      <family val="1"/>
    </font>
    <font>
      <sz val="10"/>
      <color theme="1"/>
      <name val="Times New Roman"/>
      <family val="1"/>
    </font>
    <font>
      <sz val="11"/>
      <name val="Times New Roman"/>
      <family val="1"/>
    </font>
    <font>
      <b/>
      <sz val="16"/>
      <name val="Arial"/>
      <family val="2"/>
    </font>
    <font>
      <b/>
      <sz val="18"/>
      <name val="Cambria"/>
      <family val="1"/>
    </font>
    <font>
      <b/>
      <sz val="11"/>
      <name val="Cambria"/>
      <family val="1"/>
    </font>
    <font>
      <b/>
      <sz val="14"/>
      <name val="Cambria"/>
      <family val="1"/>
    </font>
    <font>
      <b/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F99"/>
      </patternFill>
    </fill>
    <fill>
      <patternFill patternType="solid">
        <fgColor rgb="FF0070C0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8F9FA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00649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0808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2" borderId="0" xfId="0" applyFont="1" applyFill="1"/>
    <xf numFmtId="14" fontId="0" fillId="0" borderId="0" xfId="0" applyNumberFormat="1"/>
    <xf numFmtId="0" fontId="4" fillId="0" borderId="0" xfId="0" applyFont="1"/>
    <xf numFmtId="0" fontId="5" fillId="3" borderId="0" xfId="0" applyFont="1" applyFill="1"/>
    <xf numFmtId="0" fontId="2" fillId="4" borderId="0" xfId="0" applyFont="1" applyFill="1"/>
    <xf numFmtId="0" fontId="6" fillId="3" borderId="0" xfId="0" applyFont="1" applyFill="1"/>
    <xf numFmtId="0" fontId="0" fillId="0" borderId="0" xfId="0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/>
    <xf numFmtId="0" fontId="0" fillId="0" borderId="0" xfId="0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shrinkToFit="1"/>
    </xf>
    <xf numFmtId="0" fontId="0" fillId="0" borderId="5" xfId="0" applyBorder="1"/>
    <xf numFmtId="0" fontId="0" fillId="0" borderId="6" xfId="0" applyBorder="1" applyAlignment="1">
      <alignment shrinkToFit="1"/>
    </xf>
    <xf numFmtId="0" fontId="0" fillId="6" borderId="5" xfId="0" applyFill="1" applyBorder="1" applyAlignment="1">
      <alignment wrapText="1"/>
    </xf>
    <xf numFmtId="0" fontId="0" fillId="6" borderId="0" xfId="0" applyFill="1" applyAlignment="1">
      <alignment wrapText="1"/>
    </xf>
    <xf numFmtId="0" fontId="16" fillId="6" borderId="0" xfId="0" applyFont="1" applyFill="1" applyAlignment="1">
      <alignment wrapText="1"/>
    </xf>
    <xf numFmtId="164" fontId="16" fillId="6" borderId="6" xfId="0" applyNumberFormat="1" applyFont="1" applyFill="1" applyBorder="1" applyAlignment="1">
      <alignment wrapText="1"/>
    </xf>
    <xf numFmtId="0" fontId="0" fillId="6" borderId="6" xfId="0" applyFill="1" applyBorder="1" applyAlignment="1">
      <alignment wrapText="1"/>
    </xf>
    <xf numFmtId="0" fontId="21" fillId="0" borderId="12" xfId="0" applyFont="1" applyBorder="1" applyAlignment="1">
      <alignment horizontal="left"/>
    </xf>
    <xf numFmtId="0" fontId="0" fillId="0" borderId="13" xfId="0" applyBorder="1"/>
    <xf numFmtId="0" fontId="0" fillId="0" borderId="10" xfId="0" applyBorder="1" applyAlignment="1">
      <alignment shrinkToFit="1"/>
    </xf>
    <xf numFmtId="0" fontId="18" fillId="0" borderId="13" xfId="0" applyFont="1" applyBorder="1"/>
    <xf numFmtId="21" fontId="0" fillId="0" borderId="0" xfId="0" applyNumberFormat="1"/>
    <xf numFmtId="0" fontId="22" fillId="0" borderId="0" xfId="0" applyFont="1"/>
    <xf numFmtId="22" fontId="0" fillId="0" borderId="0" xfId="0" applyNumberFormat="1"/>
    <xf numFmtId="0" fontId="22" fillId="7" borderId="0" xfId="0" applyFont="1" applyFill="1"/>
    <xf numFmtId="0" fontId="23" fillId="8" borderId="0" xfId="0" applyFont="1" applyFill="1"/>
    <xf numFmtId="0" fontId="23" fillId="9" borderId="0" xfId="0" applyFont="1" applyFill="1"/>
    <xf numFmtId="0" fontId="23" fillId="10" borderId="0" xfId="0" applyFont="1" applyFill="1"/>
    <xf numFmtId="0" fontId="23" fillId="11" borderId="0" xfId="0" applyFont="1" applyFill="1"/>
    <xf numFmtId="0" fontId="23" fillId="12" borderId="0" xfId="0" applyFont="1" applyFill="1"/>
    <xf numFmtId="0" fontId="23" fillId="13" borderId="0" xfId="0" applyFont="1" applyFill="1"/>
    <xf numFmtId="0" fontId="23" fillId="14" borderId="0" xfId="0" applyFont="1" applyFill="1"/>
    <xf numFmtId="0" fontId="23" fillId="15" borderId="0" xfId="0" applyFont="1" applyFill="1"/>
    <xf numFmtId="0" fontId="23" fillId="16" borderId="0" xfId="0" applyFont="1" applyFill="1"/>
    <xf numFmtId="0" fontId="23" fillId="17" borderId="0" xfId="0" applyFont="1" applyFill="1"/>
    <xf numFmtId="17" fontId="0" fillId="0" borderId="0" xfId="0" applyNumberFormat="1"/>
    <xf numFmtId="3" fontId="0" fillId="0" borderId="0" xfId="0" applyNumberFormat="1"/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justify" vertical="center"/>
    </xf>
    <xf numFmtId="0" fontId="19" fillId="0" borderId="8" xfId="0" applyFont="1" applyBorder="1" applyAlignment="1">
      <alignment horizontal="justify" vertical="center"/>
    </xf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/>
    </xf>
    <xf numFmtId="0" fontId="17" fillId="6" borderId="0" xfId="0" applyFont="1" applyFill="1" applyAlignment="1">
      <alignment horizontal="right" vertical="center" wrapText="1"/>
    </xf>
    <xf numFmtId="0" fontId="17" fillId="6" borderId="6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9524</xdr:colOff>
      <xdr:row>2</xdr:row>
      <xdr:rowOff>0</xdr:rowOff>
    </xdr:from>
    <xdr:ext cx="6800851" cy="1381125"/>
    <xdr:pic>
      <xdr:nvPicPr>
        <xdr:cNvPr id="23" name="Picture 22">
          <a:extLst>
            <a:ext uri="{FF2B5EF4-FFF2-40B4-BE49-F238E27FC236}">
              <a16:creationId xmlns:a16="http://schemas.microsoft.com/office/drawing/2014/main" id="{EC185D27-A7A2-4185-A0F4-DD3E2CA36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4" y="390525"/>
          <a:ext cx="6800851" cy="1381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57150</xdr:colOff>
      <xdr:row>30</xdr:row>
      <xdr:rowOff>0</xdr:rowOff>
    </xdr:from>
    <xdr:ext cx="6753224" cy="1304925"/>
    <xdr:pic>
      <xdr:nvPicPr>
        <xdr:cNvPr id="24" name="Picture 23">
          <a:extLst>
            <a:ext uri="{FF2B5EF4-FFF2-40B4-BE49-F238E27FC236}">
              <a16:creationId xmlns:a16="http://schemas.microsoft.com/office/drawing/2014/main" id="{14D130A0-7AA5-4BBE-88C4-7DB6375689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5772150"/>
          <a:ext cx="6753224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workbookViewId="0">
      <selection activeCell="C21" sqref="C21"/>
    </sheetView>
  </sheetViews>
  <sheetFormatPr defaultRowHeight="15" x14ac:dyDescent="0.25"/>
  <sheetData>
    <row r="1" spans="1:2" ht="21" x14ac:dyDescent="0.35">
      <c r="A1" s="1" t="s">
        <v>0</v>
      </c>
    </row>
    <row r="3" spans="1:2" x14ac:dyDescent="0.25">
      <c r="A3" t="s">
        <v>1</v>
      </c>
      <c r="B3" t="s">
        <v>2</v>
      </c>
    </row>
    <row r="4" spans="1:2" x14ac:dyDescent="0.25">
      <c r="A4" t="s">
        <v>3</v>
      </c>
      <c r="B4" t="s">
        <v>4</v>
      </c>
    </row>
    <row r="5" spans="1:2" x14ac:dyDescent="0.25">
      <c r="A5" t="s">
        <v>5</v>
      </c>
      <c r="B5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93"/>
  <sheetViews>
    <sheetView workbookViewId="0">
      <selection activeCell="H20" sqref="H20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4" width="30" customWidth="1"/>
  </cols>
  <sheetData>
    <row r="1" spans="1:4" x14ac:dyDescent="0.25">
      <c r="A1" s="2" t="s">
        <v>7</v>
      </c>
      <c r="B1" s="2" t="s">
        <v>8</v>
      </c>
      <c r="C1" s="2" t="s">
        <v>9</v>
      </c>
      <c r="D1" s="2" t="s">
        <v>10</v>
      </c>
    </row>
    <row r="2" spans="1:4" x14ac:dyDescent="0.25">
      <c r="A2" s="10">
        <v>451740</v>
      </c>
      <c r="B2" s="11">
        <v>1741</v>
      </c>
      <c r="C2" s="11" t="s">
        <v>11</v>
      </c>
      <c r="D2" s="12" t="s">
        <v>61</v>
      </c>
    </row>
    <row r="3" spans="1:4" x14ac:dyDescent="0.25">
      <c r="A3" s="10">
        <v>452504</v>
      </c>
      <c r="B3" s="11">
        <v>1741</v>
      </c>
      <c r="C3" s="11" t="s">
        <v>11</v>
      </c>
      <c r="D3" s="12" t="s">
        <v>12</v>
      </c>
    </row>
    <row r="4" spans="1:4" x14ac:dyDescent="0.25">
      <c r="A4" s="10">
        <v>452958</v>
      </c>
      <c r="B4" s="11">
        <v>1741</v>
      </c>
      <c r="C4" s="11" t="s">
        <v>11</v>
      </c>
      <c r="D4" s="10" t="s">
        <v>62</v>
      </c>
    </row>
    <row r="5" spans="1:4" x14ac:dyDescent="0.25">
      <c r="A5" s="10">
        <v>452258</v>
      </c>
      <c r="B5" s="11">
        <v>1741</v>
      </c>
      <c r="C5" s="11" t="s">
        <v>11</v>
      </c>
      <c r="D5" s="12" t="s">
        <v>63</v>
      </c>
    </row>
    <row r="6" spans="1:4" x14ac:dyDescent="0.25">
      <c r="A6" s="10">
        <v>450021</v>
      </c>
      <c r="B6" s="11">
        <v>1741</v>
      </c>
      <c r="C6" s="11" t="s">
        <v>11</v>
      </c>
      <c r="D6" s="12" t="s">
        <v>64</v>
      </c>
    </row>
    <row r="7" spans="1:4" x14ac:dyDescent="0.25">
      <c r="A7" s="10">
        <v>451338</v>
      </c>
      <c r="B7" s="11">
        <v>1741</v>
      </c>
      <c r="C7" s="11" t="s">
        <v>11</v>
      </c>
      <c r="D7" s="12" t="s">
        <v>65</v>
      </c>
    </row>
    <row r="8" spans="1:4" x14ac:dyDescent="0.25">
      <c r="A8" s="10">
        <v>453060</v>
      </c>
      <c r="B8" s="11">
        <v>1741</v>
      </c>
      <c r="C8" s="11" t="s">
        <v>11</v>
      </c>
      <c r="D8" s="12" t="s">
        <v>66</v>
      </c>
    </row>
    <row r="9" spans="1:4" x14ac:dyDescent="0.25">
      <c r="A9" s="10">
        <v>451350</v>
      </c>
      <c r="B9" s="11">
        <v>1741</v>
      </c>
      <c r="C9" s="11" t="s">
        <v>11</v>
      </c>
      <c r="D9" s="12" t="s">
        <v>67</v>
      </c>
    </row>
    <row r="10" spans="1:4" x14ac:dyDescent="0.25">
      <c r="A10" s="10">
        <v>451880</v>
      </c>
      <c r="B10" s="11">
        <v>1741</v>
      </c>
      <c r="C10" s="11" t="s">
        <v>11</v>
      </c>
      <c r="D10" s="12" t="s">
        <v>68</v>
      </c>
    </row>
    <row r="11" spans="1:4" x14ac:dyDescent="0.25">
      <c r="A11" s="10">
        <v>452366</v>
      </c>
      <c r="B11" s="11">
        <v>1741</v>
      </c>
      <c r="C11" s="11" t="s">
        <v>11</v>
      </c>
      <c r="D11" s="12" t="s">
        <v>69</v>
      </c>
    </row>
    <row r="12" spans="1:4" x14ac:dyDescent="0.25">
      <c r="A12" s="10">
        <v>450114</v>
      </c>
      <c r="B12" s="11">
        <v>1741</v>
      </c>
      <c r="C12" s="11" t="s">
        <v>11</v>
      </c>
      <c r="D12" s="12" t="s">
        <v>70</v>
      </c>
    </row>
    <row r="13" spans="1:4" x14ac:dyDescent="0.25">
      <c r="A13" s="10">
        <v>451741</v>
      </c>
      <c r="B13" s="11">
        <v>1741</v>
      </c>
      <c r="C13" s="11" t="s">
        <v>11</v>
      </c>
      <c r="D13" s="12" t="s">
        <v>71</v>
      </c>
    </row>
    <row r="14" spans="1:4" x14ac:dyDescent="0.25">
      <c r="A14" s="10">
        <v>451592</v>
      </c>
      <c r="B14" s="11">
        <v>1741</v>
      </c>
      <c r="C14" s="11" t="s">
        <v>11</v>
      </c>
      <c r="D14" s="12" t="s">
        <v>72</v>
      </c>
    </row>
    <row r="15" spans="1:4" x14ac:dyDescent="0.25">
      <c r="A15" s="10">
        <v>451549</v>
      </c>
      <c r="B15" s="11">
        <v>1741</v>
      </c>
      <c r="C15" s="11" t="s">
        <v>11</v>
      </c>
      <c r="D15" s="12" t="s">
        <v>73</v>
      </c>
    </row>
    <row r="16" spans="1:4" x14ac:dyDescent="0.25">
      <c r="A16" s="10">
        <v>453070</v>
      </c>
      <c r="B16" s="11">
        <v>1741</v>
      </c>
      <c r="C16" s="11" t="s">
        <v>11</v>
      </c>
      <c r="D16" s="12" t="s">
        <v>74</v>
      </c>
    </row>
    <row r="17" spans="1:4" x14ac:dyDescent="0.25">
      <c r="A17" s="10">
        <v>450044</v>
      </c>
      <c r="B17" s="11">
        <v>1741</v>
      </c>
      <c r="C17" s="11" t="s">
        <v>11</v>
      </c>
      <c r="D17" s="10" t="s">
        <v>75</v>
      </c>
    </row>
    <row r="18" spans="1:4" x14ac:dyDescent="0.25">
      <c r="A18" s="10">
        <v>453041</v>
      </c>
      <c r="B18" s="11">
        <v>1741</v>
      </c>
      <c r="C18" s="11" t="s">
        <v>11</v>
      </c>
      <c r="D18" s="12" t="s">
        <v>76</v>
      </c>
    </row>
    <row r="19" spans="1:4" x14ac:dyDescent="0.25">
      <c r="A19" s="10">
        <v>452536</v>
      </c>
      <c r="B19" s="11">
        <v>1741</v>
      </c>
      <c r="C19" s="11" t="s">
        <v>11</v>
      </c>
      <c r="D19" s="10" t="s">
        <v>77</v>
      </c>
    </row>
    <row r="20" spans="1:4" x14ac:dyDescent="0.25">
      <c r="A20" s="10">
        <v>450049</v>
      </c>
      <c r="B20" s="11">
        <v>1741</v>
      </c>
      <c r="C20" s="11" t="s">
        <v>11</v>
      </c>
      <c r="D20" s="12" t="s">
        <v>78</v>
      </c>
    </row>
    <row r="21" spans="1:4" x14ac:dyDescent="0.25">
      <c r="A21" s="10">
        <v>451657</v>
      </c>
      <c r="B21" s="11">
        <v>1741</v>
      </c>
      <c r="C21" s="11" t="s">
        <v>11</v>
      </c>
      <c r="D21" s="12" t="s">
        <v>1131</v>
      </c>
    </row>
    <row r="22" spans="1:4" x14ac:dyDescent="0.25">
      <c r="A22" s="10">
        <v>451555</v>
      </c>
      <c r="B22" s="11">
        <v>1741</v>
      </c>
      <c r="C22" s="11" t="s">
        <v>11</v>
      </c>
      <c r="D22" s="12" t="s">
        <v>79</v>
      </c>
    </row>
    <row r="23" spans="1:4" x14ac:dyDescent="0.25">
      <c r="A23" s="10">
        <v>451630</v>
      </c>
      <c r="B23" s="11">
        <v>1741</v>
      </c>
      <c r="C23" s="11" t="s">
        <v>11</v>
      </c>
      <c r="D23" s="12" t="s">
        <v>80</v>
      </c>
    </row>
    <row r="24" spans="1:4" x14ac:dyDescent="0.25">
      <c r="A24" s="10">
        <v>451020</v>
      </c>
      <c r="B24" s="11">
        <v>1741</v>
      </c>
      <c r="C24" s="11" t="s">
        <v>11</v>
      </c>
      <c r="D24" s="12" t="s">
        <v>81</v>
      </c>
    </row>
    <row r="25" spans="1:4" x14ac:dyDescent="0.25">
      <c r="A25" s="10">
        <v>451607</v>
      </c>
      <c r="B25" s="11">
        <v>1741</v>
      </c>
      <c r="C25" s="11" t="s">
        <v>11</v>
      </c>
      <c r="D25" s="10" t="s">
        <v>82</v>
      </c>
    </row>
    <row r="26" spans="1:4" x14ac:dyDescent="0.25">
      <c r="A26" s="10">
        <v>451849</v>
      </c>
      <c r="B26" s="11">
        <v>1741</v>
      </c>
      <c r="C26" s="11" t="s">
        <v>11</v>
      </c>
      <c r="D26" s="10" t="s">
        <v>83</v>
      </c>
    </row>
    <row r="27" spans="1:4" x14ac:dyDescent="0.25">
      <c r="A27" s="10">
        <v>452619</v>
      </c>
      <c r="B27" s="11">
        <v>1741</v>
      </c>
      <c r="C27" s="11" t="s">
        <v>11</v>
      </c>
      <c r="D27" s="10" t="s">
        <v>84</v>
      </c>
    </row>
    <row r="28" spans="1:4" x14ac:dyDescent="0.25">
      <c r="A28" s="10">
        <v>450840</v>
      </c>
      <c r="B28" s="11">
        <v>1741</v>
      </c>
      <c r="C28" s="11" t="s">
        <v>11</v>
      </c>
      <c r="D28" s="13" t="s">
        <v>85</v>
      </c>
    </row>
    <row r="29" spans="1:4" x14ac:dyDescent="0.25">
      <c r="A29" s="10">
        <v>452309</v>
      </c>
      <c r="B29" s="11">
        <v>1741</v>
      </c>
      <c r="C29" s="11" t="s">
        <v>11</v>
      </c>
      <c r="D29" s="10" t="s">
        <v>86</v>
      </c>
    </row>
    <row r="30" spans="1:4" x14ac:dyDescent="0.25">
      <c r="A30" s="12">
        <v>452438</v>
      </c>
      <c r="B30" s="11">
        <v>1741</v>
      </c>
      <c r="C30" s="11" t="s">
        <v>87</v>
      </c>
      <c r="D30" s="12" t="s">
        <v>88</v>
      </c>
    </row>
    <row r="31" spans="1:4" x14ac:dyDescent="0.25">
      <c r="A31" s="12">
        <v>451882</v>
      </c>
      <c r="B31" s="11">
        <v>1741</v>
      </c>
      <c r="C31" s="11" t="s">
        <v>87</v>
      </c>
      <c r="D31" s="12" t="s">
        <v>89</v>
      </c>
    </row>
    <row r="32" spans="1:4" x14ac:dyDescent="0.25">
      <c r="A32" s="12">
        <v>452280</v>
      </c>
      <c r="B32" s="11">
        <v>1741</v>
      </c>
      <c r="C32" s="11" t="s">
        <v>87</v>
      </c>
      <c r="D32" s="12" t="s">
        <v>90</v>
      </c>
    </row>
    <row r="33" spans="1:4" x14ac:dyDescent="0.25">
      <c r="A33" s="10">
        <v>452533</v>
      </c>
      <c r="B33" s="11">
        <v>1741</v>
      </c>
      <c r="C33" s="11" t="s">
        <v>87</v>
      </c>
      <c r="D33" s="10" t="s">
        <v>91</v>
      </c>
    </row>
    <row r="34" spans="1:4" x14ac:dyDescent="0.25">
      <c r="A34" s="12">
        <v>474812</v>
      </c>
      <c r="B34" s="11">
        <v>1741</v>
      </c>
      <c r="C34" s="11" t="s">
        <v>87</v>
      </c>
      <c r="D34" s="12" t="s">
        <v>92</v>
      </c>
    </row>
    <row r="35" spans="1:4" x14ac:dyDescent="0.25">
      <c r="A35" s="12">
        <v>453061</v>
      </c>
      <c r="B35" s="11">
        <v>1741</v>
      </c>
      <c r="C35" s="11" t="s">
        <v>87</v>
      </c>
      <c r="D35" s="12" t="s">
        <v>93</v>
      </c>
    </row>
    <row r="36" spans="1:4" x14ac:dyDescent="0.25">
      <c r="A36" s="12">
        <v>475430</v>
      </c>
      <c r="B36" s="11">
        <v>1741</v>
      </c>
      <c r="C36" s="11" t="s">
        <v>87</v>
      </c>
      <c r="D36" s="12" t="s">
        <v>94</v>
      </c>
    </row>
    <row r="37" spans="1:4" x14ac:dyDescent="0.25">
      <c r="A37" s="12">
        <v>452544</v>
      </c>
      <c r="B37" s="11">
        <v>1741</v>
      </c>
      <c r="C37" s="11" t="s">
        <v>87</v>
      </c>
      <c r="D37" s="12" t="s">
        <v>95</v>
      </c>
    </row>
    <row r="38" spans="1:4" x14ac:dyDescent="0.25">
      <c r="A38" s="12">
        <v>453007</v>
      </c>
      <c r="B38" s="11">
        <v>1741</v>
      </c>
      <c r="C38" s="11" t="s">
        <v>87</v>
      </c>
      <c r="D38" s="12" t="s">
        <v>96</v>
      </c>
    </row>
    <row r="39" spans="1:4" x14ac:dyDescent="0.25">
      <c r="A39" s="12">
        <v>472127</v>
      </c>
      <c r="B39" s="11">
        <v>1741</v>
      </c>
      <c r="C39" s="11" t="s">
        <v>87</v>
      </c>
      <c r="D39" s="12" t="s">
        <v>97</v>
      </c>
    </row>
    <row r="40" spans="1:4" x14ac:dyDescent="0.25">
      <c r="A40" s="12">
        <v>452611</v>
      </c>
      <c r="B40" s="11">
        <v>1741</v>
      </c>
      <c r="C40" s="11" t="s">
        <v>87</v>
      </c>
      <c r="D40" s="12" t="s">
        <v>98</v>
      </c>
    </row>
    <row r="41" spans="1:4" x14ac:dyDescent="0.25">
      <c r="A41" s="12">
        <v>450203</v>
      </c>
      <c r="B41" s="11">
        <v>1741</v>
      </c>
      <c r="C41" s="11" t="s">
        <v>87</v>
      </c>
      <c r="D41" s="12" t="s">
        <v>99</v>
      </c>
    </row>
    <row r="42" spans="1:4" x14ac:dyDescent="0.25">
      <c r="A42" s="12">
        <v>474818</v>
      </c>
      <c r="B42" s="11">
        <v>1741</v>
      </c>
      <c r="C42" s="11" t="s">
        <v>87</v>
      </c>
      <c r="D42" s="12" t="s">
        <v>100</v>
      </c>
    </row>
    <row r="43" spans="1:4" x14ac:dyDescent="0.25">
      <c r="A43" s="12">
        <v>474521</v>
      </c>
      <c r="B43" s="11">
        <v>1741</v>
      </c>
      <c r="C43" s="11" t="s">
        <v>87</v>
      </c>
      <c r="D43" s="12" t="s">
        <v>101</v>
      </c>
    </row>
    <row r="44" spans="1:4" x14ac:dyDescent="0.25">
      <c r="A44" s="12">
        <v>475003</v>
      </c>
      <c r="B44" s="11">
        <v>1741</v>
      </c>
      <c r="C44" s="11" t="s">
        <v>87</v>
      </c>
      <c r="D44" s="12" t="s">
        <v>102</v>
      </c>
    </row>
    <row r="45" spans="1:4" x14ac:dyDescent="0.25">
      <c r="A45" s="12">
        <v>475423</v>
      </c>
      <c r="B45" s="11">
        <v>1741</v>
      </c>
      <c r="C45" s="11" t="s">
        <v>87</v>
      </c>
      <c r="D45" s="12" t="s">
        <v>103</v>
      </c>
    </row>
    <row r="46" spans="1:4" x14ac:dyDescent="0.25">
      <c r="A46" s="12">
        <v>475504</v>
      </c>
      <c r="B46" s="11">
        <v>1741</v>
      </c>
      <c r="C46" s="11" t="s">
        <v>87</v>
      </c>
      <c r="D46" s="12" t="s">
        <v>104</v>
      </c>
    </row>
    <row r="47" spans="1:4" x14ac:dyDescent="0.25">
      <c r="A47" s="12">
        <v>450129</v>
      </c>
      <c r="B47" s="11">
        <v>1741</v>
      </c>
      <c r="C47" s="11" t="s">
        <v>87</v>
      </c>
      <c r="D47" s="12" t="s">
        <v>105</v>
      </c>
    </row>
    <row r="48" spans="1:4" x14ac:dyDescent="0.25">
      <c r="A48" s="12">
        <v>475454</v>
      </c>
      <c r="B48" s="11">
        <v>1741</v>
      </c>
      <c r="C48" s="11" t="s">
        <v>87</v>
      </c>
      <c r="D48" s="12" t="s">
        <v>106</v>
      </c>
    </row>
    <row r="49" spans="1:4" x14ac:dyDescent="0.25">
      <c r="A49" s="12">
        <v>452590</v>
      </c>
      <c r="B49" s="11">
        <v>1741</v>
      </c>
      <c r="C49" s="11" t="s">
        <v>87</v>
      </c>
      <c r="D49" s="12" t="s">
        <v>107</v>
      </c>
    </row>
    <row r="50" spans="1:4" x14ac:dyDescent="0.25">
      <c r="A50" s="12">
        <v>453040</v>
      </c>
      <c r="B50" s="11">
        <v>1741</v>
      </c>
      <c r="C50" s="11" t="s">
        <v>87</v>
      </c>
      <c r="D50" s="12" t="s">
        <v>108</v>
      </c>
    </row>
    <row r="51" spans="1:4" x14ac:dyDescent="0.25">
      <c r="A51" s="12">
        <v>475454</v>
      </c>
      <c r="B51" s="11">
        <v>1741</v>
      </c>
      <c r="C51" s="11" t="s">
        <v>87</v>
      </c>
      <c r="D51" s="12" t="s">
        <v>109</v>
      </c>
    </row>
    <row r="52" spans="1:4" x14ac:dyDescent="0.25">
      <c r="A52" s="12">
        <v>475583</v>
      </c>
      <c r="B52" s="11">
        <v>1741</v>
      </c>
      <c r="C52" s="11" t="s">
        <v>87</v>
      </c>
      <c r="D52" s="12" t="s">
        <v>110</v>
      </c>
    </row>
    <row r="53" spans="1:4" x14ac:dyDescent="0.25">
      <c r="A53" s="12">
        <v>475588</v>
      </c>
      <c r="B53" s="11">
        <v>1741</v>
      </c>
      <c r="C53" s="11" t="s">
        <v>87</v>
      </c>
      <c r="D53" s="12" t="s">
        <v>111</v>
      </c>
    </row>
    <row r="54" spans="1:4" x14ac:dyDescent="0.25">
      <c r="A54" s="12">
        <v>474916</v>
      </c>
      <c r="B54" s="11">
        <v>1741</v>
      </c>
      <c r="C54" s="11" t="s">
        <v>87</v>
      </c>
      <c r="D54" s="12" t="s">
        <v>112</v>
      </c>
    </row>
    <row r="55" spans="1:4" x14ac:dyDescent="0.25">
      <c r="A55" s="10">
        <v>475479</v>
      </c>
      <c r="B55" s="11">
        <v>1741</v>
      </c>
      <c r="C55" s="11" t="s">
        <v>87</v>
      </c>
      <c r="D55" s="10" t="s">
        <v>113</v>
      </c>
    </row>
    <row r="56" spans="1:4" x14ac:dyDescent="0.25">
      <c r="A56" s="12">
        <v>475162</v>
      </c>
      <c r="B56" s="11">
        <v>1741</v>
      </c>
      <c r="C56" s="11" t="s">
        <v>87</v>
      </c>
      <c r="D56" s="12" t="s">
        <v>114</v>
      </c>
    </row>
    <row r="57" spans="1:4" x14ac:dyDescent="0.25">
      <c r="A57" s="12">
        <v>472890</v>
      </c>
      <c r="B57" s="11">
        <v>1741</v>
      </c>
      <c r="C57" s="11" t="s">
        <v>87</v>
      </c>
      <c r="D57" s="13" t="s">
        <v>115</v>
      </c>
    </row>
    <row r="58" spans="1:4" x14ac:dyDescent="0.25">
      <c r="A58" s="14">
        <v>473923</v>
      </c>
      <c r="B58" s="11">
        <v>1741</v>
      </c>
      <c r="C58" s="11" t="s">
        <v>87</v>
      </c>
      <c r="D58" s="12" t="s">
        <v>116</v>
      </c>
    </row>
    <row r="59" spans="1:4" x14ac:dyDescent="0.25">
      <c r="A59" s="10">
        <v>475575</v>
      </c>
      <c r="B59" s="11">
        <v>1741</v>
      </c>
      <c r="C59" s="11" t="s">
        <v>87</v>
      </c>
      <c r="D59" s="10" t="s">
        <v>117</v>
      </c>
    </row>
    <row r="60" spans="1:4" x14ac:dyDescent="0.25">
      <c r="A60" s="12">
        <v>473923</v>
      </c>
      <c r="B60" s="11">
        <v>1741</v>
      </c>
      <c r="C60" s="11" t="s">
        <v>87</v>
      </c>
      <c r="D60" s="12" t="s">
        <v>116</v>
      </c>
    </row>
    <row r="61" spans="1:4" x14ac:dyDescent="0.25">
      <c r="A61" s="12">
        <v>475578</v>
      </c>
      <c r="B61" s="11">
        <v>1741</v>
      </c>
      <c r="C61" s="11" t="s">
        <v>87</v>
      </c>
      <c r="D61" s="12" t="s">
        <v>118</v>
      </c>
    </row>
    <row r="62" spans="1:4" x14ac:dyDescent="0.25">
      <c r="A62" s="15">
        <v>474966</v>
      </c>
      <c r="B62" s="11">
        <v>1741</v>
      </c>
      <c r="C62" s="11" t="s">
        <v>87</v>
      </c>
      <c r="D62" s="15" t="s">
        <v>119</v>
      </c>
    </row>
    <row r="63" spans="1:4" x14ac:dyDescent="0.25">
      <c r="A63" s="15">
        <v>473700</v>
      </c>
      <c r="B63" s="11">
        <v>1741</v>
      </c>
      <c r="C63" s="11" t="s">
        <v>87</v>
      </c>
      <c r="D63" s="15" t="s">
        <v>120</v>
      </c>
    </row>
    <row r="64" spans="1:4" x14ac:dyDescent="0.25">
      <c r="A64" s="15">
        <v>475398</v>
      </c>
      <c r="B64" s="11">
        <v>1741</v>
      </c>
      <c r="C64" s="11" t="s">
        <v>87</v>
      </c>
      <c r="D64" s="15" t="s">
        <v>121</v>
      </c>
    </row>
    <row r="65" spans="1:4" x14ac:dyDescent="0.25">
      <c r="A65" s="15">
        <v>452767</v>
      </c>
      <c r="B65" s="11">
        <v>1741</v>
      </c>
      <c r="C65" s="11" t="s">
        <v>87</v>
      </c>
      <c r="D65" s="15" t="s">
        <v>122</v>
      </c>
    </row>
    <row r="66" spans="1:4" x14ac:dyDescent="0.25">
      <c r="A66" s="12">
        <v>471688</v>
      </c>
      <c r="B66" s="11">
        <v>1741</v>
      </c>
      <c r="C66" s="11" t="s">
        <v>87</v>
      </c>
      <c r="D66" s="12" t="s">
        <v>123</v>
      </c>
    </row>
    <row r="67" spans="1:4" x14ac:dyDescent="0.25">
      <c r="A67" s="10">
        <v>475704</v>
      </c>
      <c r="B67" s="11">
        <v>1741</v>
      </c>
      <c r="C67" s="11" t="s">
        <v>87</v>
      </c>
      <c r="D67" s="10" t="s">
        <v>124</v>
      </c>
    </row>
    <row r="68" spans="1:4" x14ac:dyDescent="0.25">
      <c r="A68" s="10">
        <v>475703</v>
      </c>
      <c r="B68" s="11">
        <v>1741</v>
      </c>
      <c r="C68" s="11" t="s">
        <v>87</v>
      </c>
      <c r="D68" s="10" t="s">
        <v>125</v>
      </c>
    </row>
    <row r="69" spans="1:4" x14ac:dyDescent="0.25">
      <c r="A69" s="10">
        <v>475118</v>
      </c>
      <c r="B69" s="11">
        <v>1741</v>
      </c>
      <c r="C69" s="11" t="s">
        <v>87</v>
      </c>
      <c r="D69" s="12" t="s">
        <v>126</v>
      </c>
    </row>
    <row r="70" spans="1:4" x14ac:dyDescent="0.25">
      <c r="A70" s="12">
        <v>472224</v>
      </c>
      <c r="B70" s="11">
        <v>1741</v>
      </c>
      <c r="C70" s="11" t="s">
        <v>87</v>
      </c>
      <c r="D70" s="12" t="s">
        <v>127</v>
      </c>
    </row>
    <row r="71" spans="1:4" x14ac:dyDescent="0.25">
      <c r="A71" s="12">
        <v>472055</v>
      </c>
      <c r="B71" s="11">
        <v>1741</v>
      </c>
      <c r="C71" s="11" t="s">
        <v>87</v>
      </c>
      <c r="D71" s="12" t="s">
        <v>128</v>
      </c>
    </row>
    <row r="72" spans="1:4" x14ac:dyDescent="0.25">
      <c r="A72" s="12">
        <v>452611</v>
      </c>
      <c r="B72" s="11">
        <v>1741</v>
      </c>
      <c r="C72" s="11" t="s">
        <v>87</v>
      </c>
      <c r="D72" s="12" t="s">
        <v>129</v>
      </c>
    </row>
    <row r="73" spans="1:4" x14ac:dyDescent="0.25">
      <c r="A73" s="12">
        <v>473500</v>
      </c>
      <c r="B73" s="11">
        <v>1741</v>
      </c>
      <c r="C73" s="11" t="s">
        <v>87</v>
      </c>
      <c r="D73" s="16" t="s">
        <v>130</v>
      </c>
    </row>
    <row r="74" spans="1:4" x14ac:dyDescent="0.25">
      <c r="A74" s="12">
        <v>473525</v>
      </c>
      <c r="B74" s="11">
        <v>1741</v>
      </c>
      <c r="C74" s="11" t="s">
        <v>87</v>
      </c>
      <c r="D74" s="16" t="s">
        <v>131</v>
      </c>
    </row>
    <row r="75" spans="1:4" x14ac:dyDescent="0.25">
      <c r="A75" s="12">
        <v>474503</v>
      </c>
      <c r="B75" s="11">
        <v>1741</v>
      </c>
      <c r="C75" s="11" t="s">
        <v>87</v>
      </c>
      <c r="D75" s="16" t="s">
        <v>132</v>
      </c>
    </row>
    <row r="76" spans="1:4" x14ac:dyDescent="0.25">
      <c r="A76" s="12">
        <v>475760</v>
      </c>
      <c r="B76" s="11">
        <v>1741</v>
      </c>
      <c r="C76" s="11" t="s">
        <v>87</v>
      </c>
      <c r="D76" s="10" t="s">
        <v>133</v>
      </c>
    </row>
    <row r="77" spans="1:4" x14ac:dyDescent="0.25">
      <c r="A77" s="12">
        <v>471447</v>
      </c>
      <c r="B77" s="11">
        <v>1741</v>
      </c>
      <c r="C77" s="11" t="s">
        <v>87</v>
      </c>
      <c r="D77" s="10" t="s">
        <v>134</v>
      </c>
    </row>
    <row r="78" spans="1:4" x14ac:dyDescent="0.25">
      <c r="A78" s="12">
        <v>480753</v>
      </c>
      <c r="B78" s="11">
        <v>1741</v>
      </c>
      <c r="C78" s="11" t="s">
        <v>87</v>
      </c>
      <c r="D78" s="10" t="s">
        <v>135</v>
      </c>
    </row>
    <row r="79" spans="1:4" x14ac:dyDescent="0.25">
      <c r="A79" s="12">
        <v>480753</v>
      </c>
      <c r="B79" s="11">
        <v>1741</v>
      </c>
      <c r="C79" s="11" t="s">
        <v>87</v>
      </c>
      <c r="D79" s="10" t="s">
        <v>136</v>
      </c>
    </row>
    <row r="80" spans="1:4" x14ac:dyDescent="0.25">
      <c r="A80" s="12">
        <v>472782</v>
      </c>
      <c r="B80" s="11">
        <v>1741</v>
      </c>
      <c r="C80" s="11" t="s">
        <v>87</v>
      </c>
      <c r="D80" s="10" t="s">
        <v>137</v>
      </c>
    </row>
    <row r="81" spans="1:4" x14ac:dyDescent="0.25">
      <c r="A81" s="12">
        <v>468685</v>
      </c>
      <c r="B81" s="11">
        <v>1741</v>
      </c>
      <c r="C81" s="11" t="s">
        <v>87</v>
      </c>
      <c r="D81" s="10" t="s">
        <v>138</v>
      </c>
    </row>
    <row r="82" spans="1:4" x14ac:dyDescent="0.25">
      <c r="A82" s="12">
        <v>473537</v>
      </c>
      <c r="B82" s="11">
        <v>1741</v>
      </c>
      <c r="C82" s="11" t="s">
        <v>87</v>
      </c>
      <c r="D82" s="10" t="s">
        <v>139</v>
      </c>
    </row>
    <row r="83" spans="1:4" x14ac:dyDescent="0.25">
      <c r="A83" s="12">
        <v>474303</v>
      </c>
      <c r="B83" s="11">
        <v>1741</v>
      </c>
      <c r="C83" s="11" t="s">
        <v>87</v>
      </c>
      <c r="D83" s="12" t="s">
        <v>140</v>
      </c>
    </row>
    <row r="84" spans="1:4" x14ac:dyDescent="0.25">
      <c r="A84" s="12">
        <v>475222</v>
      </c>
      <c r="B84" s="11">
        <v>1741</v>
      </c>
      <c r="C84" s="11" t="s">
        <v>87</v>
      </c>
      <c r="D84" s="12" t="s">
        <v>141</v>
      </c>
    </row>
    <row r="85" spans="1:4" x14ac:dyDescent="0.25">
      <c r="A85" s="12">
        <v>475687</v>
      </c>
      <c r="B85" s="11">
        <v>1741</v>
      </c>
      <c r="C85" s="11" t="s">
        <v>87</v>
      </c>
      <c r="D85" s="12" t="s">
        <v>142</v>
      </c>
    </row>
    <row r="86" spans="1:4" x14ac:dyDescent="0.25">
      <c r="A86" s="12">
        <v>475783</v>
      </c>
      <c r="B86" s="11">
        <v>1741</v>
      </c>
      <c r="C86" s="11" t="s">
        <v>87</v>
      </c>
      <c r="D86" s="12" t="s">
        <v>143</v>
      </c>
    </row>
    <row r="87" spans="1:4" x14ac:dyDescent="0.25">
      <c r="A87" s="12">
        <v>466815</v>
      </c>
      <c r="B87" s="11">
        <v>1741</v>
      </c>
      <c r="C87" s="11" t="s">
        <v>87</v>
      </c>
      <c r="D87" s="12" t="s">
        <v>144</v>
      </c>
    </row>
    <row r="88" spans="1:4" x14ac:dyDescent="0.25">
      <c r="A88" s="12">
        <v>469720</v>
      </c>
      <c r="B88" s="11">
        <v>1741</v>
      </c>
      <c r="C88" s="11" t="s">
        <v>87</v>
      </c>
      <c r="D88" s="13" t="s">
        <v>145</v>
      </c>
    </row>
    <row r="89" spans="1:4" x14ac:dyDescent="0.25">
      <c r="A89" s="12">
        <v>470895</v>
      </c>
      <c r="B89" s="11">
        <v>1741</v>
      </c>
      <c r="C89" s="11" t="s">
        <v>87</v>
      </c>
      <c r="D89" s="12" t="s">
        <v>146</v>
      </c>
    </row>
    <row r="90" spans="1:4" x14ac:dyDescent="0.25">
      <c r="A90" s="12">
        <v>480473</v>
      </c>
      <c r="B90" s="11">
        <v>1741</v>
      </c>
      <c r="C90" s="11" t="s">
        <v>87</v>
      </c>
      <c r="D90" s="12" t="s">
        <v>147</v>
      </c>
    </row>
    <row r="91" spans="1:4" x14ac:dyDescent="0.25">
      <c r="A91" s="12">
        <v>474792</v>
      </c>
      <c r="B91" s="11">
        <v>1741</v>
      </c>
      <c r="C91" s="11" t="s">
        <v>87</v>
      </c>
      <c r="D91" s="12" t="s">
        <v>148</v>
      </c>
    </row>
    <row r="92" spans="1:4" x14ac:dyDescent="0.25">
      <c r="A92" s="10">
        <v>453080</v>
      </c>
      <c r="B92" s="11">
        <v>1741</v>
      </c>
      <c r="C92" s="11" t="s">
        <v>87</v>
      </c>
      <c r="D92" s="10" t="s">
        <v>149</v>
      </c>
    </row>
    <row r="93" spans="1:4" x14ac:dyDescent="0.25">
      <c r="A93" s="12">
        <v>474564</v>
      </c>
      <c r="B93" s="11">
        <v>1741</v>
      </c>
      <c r="C93" s="11" t="s">
        <v>87</v>
      </c>
      <c r="D93" s="12" t="s">
        <v>150</v>
      </c>
    </row>
    <row r="94" spans="1:4" x14ac:dyDescent="0.25">
      <c r="A94" s="12">
        <v>475509</v>
      </c>
      <c r="B94" s="11">
        <v>1741</v>
      </c>
      <c r="C94" s="11" t="s">
        <v>87</v>
      </c>
      <c r="D94" s="12" t="s">
        <v>151</v>
      </c>
    </row>
    <row r="95" spans="1:4" x14ac:dyDescent="0.25">
      <c r="A95" s="12">
        <v>471004</v>
      </c>
      <c r="B95" s="11">
        <v>1741</v>
      </c>
      <c r="C95" s="11" t="s">
        <v>87</v>
      </c>
      <c r="D95" s="12" t="s">
        <v>152</v>
      </c>
    </row>
    <row r="96" spans="1:4" x14ac:dyDescent="0.25">
      <c r="A96" s="12">
        <v>475857</v>
      </c>
      <c r="B96" s="11">
        <v>1741</v>
      </c>
      <c r="C96" s="11" t="s">
        <v>87</v>
      </c>
      <c r="D96" s="12" t="s">
        <v>153</v>
      </c>
    </row>
    <row r="97" spans="1:4" x14ac:dyDescent="0.25">
      <c r="A97" s="12">
        <v>475838</v>
      </c>
      <c r="B97" s="11">
        <v>1741</v>
      </c>
      <c r="C97" s="11" t="s">
        <v>87</v>
      </c>
      <c r="D97" s="12" t="s">
        <v>154</v>
      </c>
    </row>
    <row r="98" spans="1:4" x14ac:dyDescent="0.25">
      <c r="A98" s="12">
        <v>475118</v>
      </c>
      <c r="B98" s="11">
        <v>1741</v>
      </c>
      <c r="C98" s="11" t="s">
        <v>87</v>
      </c>
      <c r="D98" s="12" t="s">
        <v>126</v>
      </c>
    </row>
    <row r="99" spans="1:4" x14ac:dyDescent="0.25">
      <c r="A99" s="12">
        <v>475839</v>
      </c>
      <c r="B99" s="11">
        <v>1741</v>
      </c>
      <c r="C99" s="11" t="s">
        <v>87</v>
      </c>
      <c r="D99" s="12" t="s">
        <v>155</v>
      </c>
    </row>
    <row r="100" spans="1:4" x14ac:dyDescent="0.25">
      <c r="A100" s="12">
        <v>468557</v>
      </c>
      <c r="B100" s="11">
        <v>1741</v>
      </c>
      <c r="C100" s="17" t="s">
        <v>156</v>
      </c>
      <c r="D100" s="12" t="s">
        <v>157</v>
      </c>
    </row>
    <row r="101" spans="1:4" x14ac:dyDescent="0.25">
      <c r="A101" s="12">
        <v>475509</v>
      </c>
      <c r="B101" s="11">
        <v>1741</v>
      </c>
      <c r="C101" s="17" t="s">
        <v>156</v>
      </c>
      <c r="D101" s="12" t="s">
        <v>158</v>
      </c>
    </row>
    <row r="102" spans="1:4" x14ac:dyDescent="0.25">
      <c r="A102" s="12">
        <v>475247</v>
      </c>
      <c r="B102" s="11">
        <v>1741</v>
      </c>
      <c r="C102" s="17" t="s">
        <v>156</v>
      </c>
      <c r="D102" s="12" t="s">
        <v>159</v>
      </c>
    </row>
    <row r="103" spans="1:4" x14ac:dyDescent="0.25">
      <c r="A103" s="10">
        <v>202287</v>
      </c>
      <c r="B103" s="11">
        <v>2533</v>
      </c>
      <c r="C103" s="10" t="s">
        <v>11</v>
      </c>
      <c r="D103" s="10" t="s">
        <v>160</v>
      </c>
    </row>
    <row r="104" spans="1:4" x14ac:dyDescent="0.25">
      <c r="A104" s="12">
        <v>217001</v>
      </c>
      <c r="B104" s="11">
        <v>2533</v>
      </c>
      <c r="C104" s="17" t="s">
        <v>87</v>
      </c>
      <c r="D104" s="12" t="s">
        <v>161</v>
      </c>
    </row>
    <row r="105" spans="1:4" x14ac:dyDescent="0.25">
      <c r="A105" s="12">
        <v>214595</v>
      </c>
      <c r="B105" s="11">
        <v>2533</v>
      </c>
      <c r="C105" s="17" t="s">
        <v>87</v>
      </c>
      <c r="D105" s="12" t="s">
        <v>162</v>
      </c>
    </row>
    <row r="106" spans="1:4" x14ac:dyDescent="0.25">
      <c r="A106" s="12">
        <v>218232</v>
      </c>
      <c r="B106" s="11">
        <v>2533</v>
      </c>
      <c r="C106" s="17" t="s">
        <v>87</v>
      </c>
      <c r="D106" s="12" t="s">
        <v>163</v>
      </c>
    </row>
    <row r="107" spans="1:4" x14ac:dyDescent="0.25">
      <c r="A107" s="12">
        <v>218113</v>
      </c>
      <c r="B107" s="11">
        <v>2533</v>
      </c>
      <c r="C107" s="17" t="s">
        <v>87</v>
      </c>
      <c r="D107" s="12" t="s">
        <v>164</v>
      </c>
    </row>
    <row r="108" spans="1:4" x14ac:dyDescent="0.25">
      <c r="A108" s="12">
        <v>215424</v>
      </c>
      <c r="B108" s="11">
        <v>2533</v>
      </c>
      <c r="C108" s="17" t="s">
        <v>87</v>
      </c>
      <c r="D108" s="12" t="s">
        <v>165</v>
      </c>
    </row>
    <row r="109" spans="1:4" x14ac:dyDescent="0.25">
      <c r="A109" s="12">
        <v>218429</v>
      </c>
      <c r="B109" s="11">
        <v>2533</v>
      </c>
      <c r="C109" s="17" t="s">
        <v>87</v>
      </c>
      <c r="D109" s="12" t="s">
        <v>166</v>
      </c>
    </row>
    <row r="110" spans="1:4" x14ac:dyDescent="0.25">
      <c r="A110" s="12">
        <v>218422</v>
      </c>
      <c r="B110" s="11">
        <v>2533</v>
      </c>
      <c r="C110" s="17" t="s">
        <v>87</v>
      </c>
      <c r="D110" s="12" t="s">
        <v>167</v>
      </c>
    </row>
    <row r="111" spans="1:4" x14ac:dyDescent="0.25">
      <c r="A111" s="12">
        <v>218430</v>
      </c>
      <c r="B111" s="11">
        <v>2533</v>
      </c>
      <c r="C111" s="17" t="s">
        <v>87</v>
      </c>
      <c r="D111" s="12" t="s">
        <v>168</v>
      </c>
    </row>
    <row r="112" spans="1:4" x14ac:dyDescent="0.25">
      <c r="A112" s="12">
        <v>218419</v>
      </c>
      <c r="B112" s="11">
        <v>2533</v>
      </c>
      <c r="C112" s="17" t="s">
        <v>87</v>
      </c>
      <c r="D112" s="12" t="s">
        <v>169</v>
      </c>
    </row>
    <row r="113" spans="1:4" x14ac:dyDescent="0.25">
      <c r="A113" s="12">
        <v>217710</v>
      </c>
      <c r="B113" s="11">
        <v>2533</v>
      </c>
      <c r="C113" s="17" t="s">
        <v>87</v>
      </c>
      <c r="D113" s="12" t="s">
        <v>170</v>
      </c>
    </row>
    <row r="114" spans="1:4" x14ac:dyDescent="0.25">
      <c r="A114" s="12">
        <v>218426</v>
      </c>
      <c r="B114" s="11">
        <v>2533</v>
      </c>
      <c r="C114" s="17" t="s">
        <v>87</v>
      </c>
      <c r="D114" s="12" t="s">
        <v>171</v>
      </c>
    </row>
    <row r="115" spans="1:4" x14ac:dyDescent="0.25">
      <c r="A115" s="12">
        <v>217001</v>
      </c>
      <c r="B115" s="11">
        <v>2533</v>
      </c>
      <c r="C115" s="17" t="s">
        <v>87</v>
      </c>
      <c r="D115" s="12" t="s">
        <v>172</v>
      </c>
    </row>
    <row r="116" spans="1:4" x14ac:dyDescent="0.25">
      <c r="A116" s="12">
        <v>218244</v>
      </c>
      <c r="B116" s="11">
        <v>2533</v>
      </c>
      <c r="C116" s="17" t="s">
        <v>87</v>
      </c>
      <c r="D116" s="13" t="s">
        <v>173</v>
      </c>
    </row>
    <row r="117" spans="1:4" x14ac:dyDescent="0.25">
      <c r="A117" s="12">
        <v>215736</v>
      </c>
      <c r="B117" s="11">
        <v>2533</v>
      </c>
      <c r="C117" s="17" t="s">
        <v>87</v>
      </c>
      <c r="D117" s="12" t="s">
        <v>174</v>
      </c>
    </row>
    <row r="118" spans="1:4" x14ac:dyDescent="0.25">
      <c r="A118" s="12">
        <v>215682</v>
      </c>
      <c r="B118" s="11">
        <v>2533</v>
      </c>
      <c r="C118" s="17" t="s">
        <v>156</v>
      </c>
      <c r="D118" s="12" t="s">
        <v>175</v>
      </c>
    </row>
    <row r="119" spans="1:4" x14ac:dyDescent="0.25">
      <c r="A119" s="12">
        <v>216968</v>
      </c>
      <c r="B119" s="11">
        <v>2533</v>
      </c>
      <c r="C119" s="17" t="s">
        <v>156</v>
      </c>
      <c r="D119" s="12" t="s">
        <v>176</v>
      </c>
    </row>
    <row r="120" spans="1:4" x14ac:dyDescent="0.25">
      <c r="A120" s="12">
        <v>218266</v>
      </c>
      <c r="B120" s="11">
        <v>2533</v>
      </c>
      <c r="C120" s="17" t="s">
        <v>156</v>
      </c>
      <c r="D120" s="12" t="s">
        <v>177</v>
      </c>
    </row>
    <row r="121" spans="1:4" x14ac:dyDescent="0.25">
      <c r="A121" s="12">
        <v>218330</v>
      </c>
      <c r="B121" s="11">
        <v>2533</v>
      </c>
      <c r="C121" s="17" t="s">
        <v>156</v>
      </c>
      <c r="D121" s="12" t="s">
        <v>178</v>
      </c>
    </row>
    <row r="122" spans="1:4" x14ac:dyDescent="0.25">
      <c r="A122" s="12">
        <v>216155</v>
      </c>
      <c r="B122" s="11">
        <v>2533</v>
      </c>
      <c r="C122" s="17" t="s">
        <v>156</v>
      </c>
      <c r="D122" s="13" t="s">
        <v>179</v>
      </c>
    </row>
    <row r="123" spans="1:4" x14ac:dyDescent="0.25">
      <c r="A123" s="12">
        <v>113365</v>
      </c>
      <c r="B123" s="11">
        <v>2624</v>
      </c>
      <c r="C123" s="17" t="s">
        <v>11</v>
      </c>
      <c r="D123" s="12" t="s">
        <v>180</v>
      </c>
    </row>
    <row r="124" spans="1:4" x14ac:dyDescent="0.25">
      <c r="A124" s="12">
        <v>115251</v>
      </c>
      <c r="B124" s="11">
        <v>2624</v>
      </c>
      <c r="C124" s="17" t="s">
        <v>11</v>
      </c>
      <c r="D124" s="12" t="s">
        <v>181</v>
      </c>
    </row>
    <row r="125" spans="1:4" x14ac:dyDescent="0.25">
      <c r="A125" s="12">
        <v>110470</v>
      </c>
      <c r="B125" s="11">
        <v>2624</v>
      </c>
      <c r="C125" s="17" t="s">
        <v>11</v>
      </c>
      <c r="D125" s="12" t="s">
        <v>182</v>
      </c>
    </row>
    <row r="126" spans="1:4" x14ac:dyDescent="0.25">
      <c r="A126" s="12">
        <v>113817</v>
      </c>
      <c r="B126" s="11">
        <v>2624</v>
      </c>
      <c r="C126" s="17" t="s">
        <v>11</v>
      </c>
      <c r="D126" s="18" t="s">
        <v>183</v>
      </c>
    </row>
    <row r="127" spans="1:4" x14ac:dyDescent="0.25">
      <c r="A127" s="12">
        <v>115362</v>
      </c>
      <c r="B127" s="11">
        <v>2624</v>
      </c>
      <c r="C127" s="17" t="s">
        <v>11</v>
      </c>
      <c r="D127" s="12" t="s">
        <v>184</v>
      </c>
    </row>
    <row r="128" spans="1:4" x14ac:dyDescent="0.25">
      <c r="A128" s="12">
        <v>112664</v>
      </c>
      <c r="B128" s="11">
        <v>2624</v>
      </c>
      <c r="C128" s="17" t="s">
        <v>11</v>
      </c>
      <c r="D128" s="12" t="s">
        <v>185</v>
      </c>
    </row>
    <row r="129" spans="1:4" x14ac:dyDescent="0.25">
      <c r="A129" s="12">
        <v>114333</v>
      </c>
      <c r="B129" s="11">
        <v>2624</v>
      </c>
      <c r="C129" s="17" t="s">
        <v>11</v>
      </c>
      <c r="D129" s="12" t="s">
        <v>186</v>
      </c>
    </row>
    <row r="130" spans="1:4" x14ac:dyDescent="0.25">
      <c r="A130" s="10">
        <v>113385</v>
      </c>
      <c r="B130" s="11">
        <v>2624</v>
      </c>
      <c r="C130" s="17" t="s">
        <v>11</v>
      </c>
      <c r="D130" s="10" t="s">
        <v>187</v>
      </c>
    </row>
    <row r="131" spans="1:4" x14ac:dyDescent="0.25">
      <c r="A131" s="12">
        <v>115295</v>
      </c>
      <c r="B131" s="11">
        <v>2624</v>
      </c>
      <c r="C131" s="17" t="s">
        <v>11</v>
      </c>
      <c r="D131" s="12" t="s">
        <v>188</v>
      </c>
    </row>
    <row r="132" spans="1:4" x14ac:dyDescent="0.25">
      <c r="A132" s="12">
        <v>113676</v>
      </c>
      <c r="B132" s="11">
        <v>2624</v>
      </c>
      <c r="C132" s="17" t="s">
        <v>11</v>
      </c>
      <c r="D132" s="12" t="s">
        <v>189</v>
      </c>
    </row>
    <row r="133" spans="1:4" x14ac:dyDescent="0.25">
      <c r="A133" s="12">
        <v>115281</v>
      </c>
      <c r="B133" s="11">
        <v>2624</v>
      </c>
      <c r="C133" s="17" t="s">
        <v>11</v>
      </c>
      <c r="D133" s="12" t="s">
        <v>190</v>
      </c>
    </row>
    <row r="134" spans="1:4" x14ac:dyDescent="0.25">
      <c r="A134" s="10">
        <v>113930</v>
      </c>
      <c r="B134" s="11">
        <v>2624</v>
      </c>
      <c r="C134" s="17" t="s">
        <v>11</v>
      </c>
      <c r="D134" s="19" t="s">
        <v>191</v>
      </c>
    </row>
    <row r="135" spans="1:4" x14ac:dyDescent="0.25">
      <c r="A135" s="10">
        <v>114567</v>
      </c>
      <c r="B135" s="11">
        <v>2624</v>
      </c>
      <c r="C135" s="17" t="s">
        <v>11</v>
      </c>
      <c r="D135" s="10" t="s">
        <v>192</v>
      </c>
    </row>
    <row r="136" spans="1:4" x14ac:dyDescent="0.25">
      <c r="A136" s="10">
        <v>115420</v>
      </c>
      <c r="B136" s="11">
        <v>2624</v>
      </c>
      <c r="C136" s="17" t="s">
        <v>11</v>
      </c>
      <c r="D136" s="10" t="s">
        <v>193</v>
      </c>
    </row>
    <row r="137" spans="1:4" x14ac:dyDescent="0.25">
      <c r="A137" s="12">
        <v>115505</v>
      </c>
      <c r="B137" s="11">
        <v>2624</v>
      </c>
      <c r="C137" s="17" t="s">
        <v>11</v>
      </c>
      <c r="D137" s="12" t="s">
        <v>194</v>
      </c>
    </row>
    <row r="138" spans="1:4" x14ac:dyDescent="0.25">
      <c r="A138" s="12">
        <v>115498</v>
      </c>
      <c r="B138" s="11">
        <v>2624</v>
      </c>
      <c r="C138" s="17" t="s">
        <v>11</v>
      </c>
      <c r="D138" s="12" t="s">
        <v>195</v>
      </c>
    </row>
    <row r="139" spans="1:4" x14ac:dyDescent="0.25">
      <c r="A139" s="10">
        <v>115494</v>
      </c>
      <c r="B139" s="11">
        <v>2624</v>
      </c>
      <c r="C139" s="17" t="s">
        <v>11</v>
      </c>
      <c r="D139" s="10" t="s">
        <v>196</v>
      </c>
    </row>
    <row r="140" spans="1:4" x14ac:dyDescent="0.25">
      <c r="A140" s="10">
        <v>114333</v>
      </c>
      <c r="B140" s="11">
        <v>2624</v>
      </c>
      <c r="C140" s="17" t="s">
        <v>11</v>
      </c>
      <c r="D140" s="10" t="s">
        <v>197</v>
      </c>
    </row>
    <row r="141" spans="1:4" x14ac:dyDescent="0.25">
      <c r="A141" s="10">
        <v>115507</v>
      </c>
      <c r="B141" s="11">
        <v>2624</v>
      </c>
      <c r="C141" s="17" t="s">
        <v>11</v>
      </c>
      <c r="D141" s="10" t="s">
        <v>198</v>
      </c>
    </row>
    <row r="142" spans="1:4" x14ac:dyDescent="0.25">
      <c r="A142" s="10">
        <v>115506</v>
      </c>
      <c r="B142" s="11">
        <v>2624</v>
      </c>
      <c r="C142" s="17" t="s">
        <v>11</v>
      </c>
      <c r="D142" s="10" t="s">
        <v>199</v>
      </c>
    </row>
    <row r="143" spans="1:4" x14ac:dyDescent="0.25">
      <c r="A143" s="10">
        <v>115529</v>
      </c>
      <c r="B143" s="11">
        <v>2624</v>
      </c>
      <c r="C143" s="17" t="s">
        <v>11</v>
      </c>
      <c r="D143" s="10" t="s">
        <v>200</v>
      </c>
    </row>
    <row r="144" spans="1:4" x14ac:dyDescent="0.25">
      <c r="A144" s="10">
        <v>115524</v>
      </c>
      <c r="B144" s="11">
        <v>2624</v>
      </c>
      <c r="C144" s="17" t="s">
        <v>11</v>
      </c>
      <c r="D144" s="10" t="s">
        <v>201</v>
      </c>
    </row>
    <row r="145" spans="1:4" x14ac:dyDescent="0.25">
      <c r="A145" s="10">
        <v>115523</v>
      </c>
      <c r="B145" s="11">
        <v>2624</v>
      </c>
      <c r="C145" s="17" t="s">
        <v>11</v>
      </c>
      <c r="D145" s="10" t="s">
        <v>202</v>
      </c>
    </row>
    <row r="146" spans="1:4" x14ac:dyDescent="0.25">
      <c r="A146" s="10">
        <v>113652</v>
      </c>
      <c r="B146" s="11">
        <v>2624</v>
      </c>
      <c r="C146" s="17" t="s">
        <v>11</v>
      </c>
      <c r="D146" s="10" t="s">
        <v>203</v>
      </c>
    </row>
    <row r="147" spans="1:4" x14ac:dyDescent="0.25">
      <c r="A147" s="12">
        <v>112301</v>
      </c>
      <c r="B147" s="11">
        <v>2624</v>
      </c>
      <c r="C147" s="17" t="s">
        <v>11</v>
      </c>
      <c r="D147" s="12" t="s">
        <v>204</v>
      </c>
    </row>
    <row r="148" spans="1:4" x14ac:dyDescent="0.25">
      <c r="A148" s="12">
        <v>115532</v>
      </c>
      <c r="B148" s="11">
        <v>2624</v>
      </c>
      <c r="C148" s="17" t="s">
        <v>11</v>
      </c>
      <c r="D148" s="12" t="s">
        <v>205</v>
      </c>
    </row>
    <row r="149" spans="1:4" x14ac:dyDescent="0.25">
      <c r="A149" s="10">
        <v>110151</v>
      </c>
      <c r="B149" s="11">
        <v>2624</v>
      </c>
      <c r="C149" s="17" t="s">
        <v>87</v>
      </c>
      <c r="D149" s="10" t="s">
        <v>206</v>
      </c>
    </row>
    <row r="150" spans="1:4" x14ac:dyDescent="0.25">
      <c r="A150" s="12">
        <v>131939</v>
      </c>
      <c r="B150" s="11">
        <v>2624</v>
      </c>
      <c r="C150" s="17" t="s">
        <v>87</v>
      </c>
      <c r="D150" s="12" t="s">
        <v>207</v>
      </c>
    </row>
    <row r="151" spans="1:4" x14ac:dyDescent="0.25">
      <c r="A151" s="12">
        <v>132027</v>
      </c>
      <c r="B151" s="11">
        <v>2624</v>
      </c>
      <c r="C151" s="17" t="s">
        <v>87</v>
      </c>
      <c r="D151" s="12" t="s">
        <v>208</v>
      </c>
    </row>
    <row r="152" spans="1:4" x14ac:dyDescent="0.25">
      <c r="A152" s="12">
        <v>123496</v>
      </c>
      <c r="B152" s="11">
        <v>2624</v>
      </c>
      <c r="C152" s="17" t="s">
        <v>87</v>
      </c>
      <c r="D152" s="12" t="s">
        <v>209</v>
      </c>
    </row>
    <row r="153" spans="1:4" x14ac:dyDescent="0.25">
      <c r="A153" s="12">
        <v>132022</v>
      </c>
      <c r="B153" s="11">
        <v>2624</v>
      </c>
      <c r="C153" s="17" t="s">
        <v>87</v>
      </c>
      <c r="D153" s="12" t="s">
        <v>210</v>
      </c>
    </row>
    <row r="154" spans="1:4" x14ac:dyDescent="0.25">
      <c r="A154" s="12">
        <v>127000</v>
      </c>
      <c r="B154" s="11">
        <v>2624</v>
      </c>
      <c r="C154" s="17" t="s">
        <v>87</v>
      </c>
      <c r="D154" s="12" t="s">
        <v>211</v>
      </c>
    </row>
    <row r="155" spans="1:4" x14ac:dyDescent="0.25">
      <c r="A155" s="12">
        <v>120905</v>
      </c>
      <c r="B155" s="11">
        <v>2624</v>
      </c>
      <c r="C155" s="17" t="s">
        <v>87</v>
      </c>
      <c r="D155" s="10" t="s">
        <v>212</v>
      </c>
    </row>
    <row r="156" spans="1:4" x14ac:dyDescent="0.25">
      <c r="A156" s="12">
        <v>182186</v>
      </c>
      <c r="B156" s="11">
        <v>2624</v>
      </c>
      <c r="C156" s="17" t="s">
        <v>87</v>
      </c>
      <c r="D156" s="12" t="s">
        <v>213</v>
      </c>
    </row>
    <row r="157" spans="1:4" x14ac:dyDescent="0.25">
      <c r="A157" s="12">
        <v>110151</v>
      </c>
      <c r="B157" s="11">
        <v>2624</v>
      </c>
      <c r="C157" s="17" t="s">
        <v>87</v>
      </c>
      <c r="D157" s="12" t="s">
        <v>214</v>
      </c>
    </row>
    <row r="158" spans="1:4" x14ac:dyDescent="0.25">
      <c r="A158" s="12">
        <v>115366</v>
      </c>
      <c r="B158" s="11">
        <v>2624</v>
      </c>
      <c r="C158" s="17" t="s">
        <v>87</v>
      </c>
      <c r="D158" s="12" t="s">
        <v>215</v>
      </c>
    </row>
    <row r="159" spans="1:4" x14ac:dyDescent="0.25">
      <c r="A159" s="12">
        <v>132136</v>
      </c>
      <c r="B159" s="11">
        <v>2624</v>
      </c>
      <c r="C159" s="17" t="s">
        <v>87</v>
      </c>
      <c r="D159" s="12" t="s">
        <v>216</v>
      </c>
    </row>
    <row r="160" spans="1:4" x14ac:dyDescent="0.25">
      <c r="A160" s="12">
        <v>130329</v>
      </c>
      <c r="B160" s="11">
        <v>2624</v>
      </c>
      <c r="C160" s="17" t="s">
        <v>87</v>
      </c>
      <c r="D160" s="12" t="s">
        <v>217</v>
      </c>
    </row>
    <row r="161" spans="1:4" x14ac:dyDescent="0.25">
      <c r="A161" s="12">
        <v>128000</v>
      </c>
      <c r="B161" s="11">
        <v>2624</v>
      </c>
      <c r="C161" s="17" t="s">
        <v>87</v>
      </c>
      <c r="D161" s="12" t="s">
        <v>218</v>
      </c>
    </row>
    <row r="162" spans="1:4" x14ac:dyDescent="0.25">
      <c r="A162" s="12">
        <v>131711</v>
      </c>
      <c r="B162" s="11">
        <v>2624</v>
      </c>
      <c r="C162" s="17" t="s">
        <v>87</v>
      </c>
      <c r="D162" s="12" t="s">
        <v>219</v>
      </c>
    </row>
    <row r="163" spans="1:4" x14ac:dyDescent="0.25">
      <c r="A163" s="12">
        <v>121795</v>
      </c>
      <c r="B163" s="11">
        <v>2624</v>
      </c>
      <c r="C163" s="17" t="s">
        <v>87</v>
      </c>
      <c r="D163" s="12" t="s">
        <v>220</v>
      </c>
    </row>
    <row r="164" spans="1:4" x14ac:dyDescent="0.25">
      <c r="A164" s="12">
        <v>115377</v>
      </c>
      <c r="B164" s="11">
        <v>2624</v>
      </c>
      <c r="C164" s="17" t="s">
        <v>87</v>
      </c>
      <c r="D164" s="12" t="s">
        <v>221</v>
      </c>
    </row>
    <row r="165" spans="1:4" x14ac:dyDescent="0.25">
      <c r="A165" s="12">
        <v>131662</v>
      </c>
      <c r="B165" s="11">
        <v>2624</v>
      </c>
      <c r="C165" s="17" t="s">
        <v>87</v>
      </c>
      <c r="D165" s="12" t="s">
        <v>222</v>
      </c>
    </row>
    <row r="166" spans="1:4" x14ac:dyDescent="0.25">
      <c r="A166" s="12">
        <v>125700</v>
      </c>
      <c r="B166" s="11">
        <v>2624</v>
      </c>
      <c r="C166" s="17" t="s">
        <v>87</v>
      </c>
      <c r="D166" s="12" t="s">
        <v>223</v>
      </c>
    </row>
    <row r="167" spans="1:4" x14ac:dyDescent="0.25">
      <c r="A167" s="12">
        <v>132228</v>
      </c>
      <c r="B167" s="11">
        <v>2624</v>
      </c>
      <c r="C167" s="17" t="s">
        <v>87</v>
      </c>
      <c r="D167" s="12" t="s">
        <v>224</v>
      </c>
    </row>
    <row r="168" spans="1:4" x14ac:dyDescent="0.25">
      <c r="A168" s="12">
        <v>131868</v>
      </c>
      <c r="B168" s="11">
        <v>2624</v>
      </c>
      <c r="C168" s="17" t="s">
        <v>87</v>
      </c>
      <c r="D168" s="12" t="s">
        <v>225</v>
      </c>
    </row>
    <row r="169" spans="1:4" x14ac:dyDescent="0.25">
      <c r="A169" s="12">
        <v>132214</v>
      </c>
      <c r="B169" s="11">
        <v>2624</v>
      </c>
      <c r="C169" s="17" t="s">
        <v>87</v>
      </c>
      <c r="D169" s="12" t="s">
        <v>226</v>
      </c>
    </row>
    <row r="170" spans="1:4" x14ac:dyDescent="0.25">
      <c r="A170" s="12">
        <v>131661</v>
      </c>
      <c r="B170" s="11">
        <v>2624</v>
      </c>
      <c r="C170" s="17" t="s">
        <v>87</v>
      </c>
      <c r="D170" s="12" t="s">
        <v>227</v>
      </c>
    </row>
    <row r="171" spans="1:4" x14ac:dyDescent="0.25">
      <c r="A171" s="12">
        <v>115387</v>
      </c>
      <c r="B171" s="11">
        <v>2624</v>
      </c>
      <c r="C171" s="17" t="s">
        <v>87</v>
      </c>
      <c r="D171" s="12" t="s">
        <v>228</v>
      </c>
    </row>
    <row r="172" spans="1:4" x14ac:dyDescent="0.25">
      <c r="A172" s="12">
        <v>130895</v>
      </c>
      <c r="B172" s="11">
        <v>2624</v>
      </c>
      <c r="C172" s="17" t="s">
        <v>87</v>
      </c>
      <c r="D172" s="12" t="s">
        <v>229</v>
      </c>
    </row>
    <row r="173" spans="1:4" x14ac:dyDescent="0.25">
      <c r="A173" s="12">
        <v>132018</v>
      </c>
      <c r="B173" s="11">
        <v>2624</v>
      </c>
      <c r="C173" s="17" t="s">
        <v>87</v>
      </c>
      <c r="D173" s="20" t="s">
        <v>230</v>
      </c>
    </row>
    <row r="174" spans="1:4" x14ac:dyDescent="0.25">
      <c r="A174" s="12">
        <v>113175</v>
      </c>
      <c r="B174" s="11">
        <v>2624</v>
      </c>
      <c r="C174" s="17" t="s">
        <v>87</v>
      </c>
      <c r="D174" s="12" t="s">
        <v>231</v>
      </c>
    </row>
    <row r="175" spans="1:4" x14ac:dyDescent="0.25">
      <c r="A175" s="12">
        <v>131737</v>
      </c>
      <c r="B175" s="11">
        <v>2624</v>
      </c>
      <c r="C175" s="17" t="s">
        <v>87</v>
      </c>
      <c r="D175" s="12" t="s">
        <v>232</v>
      </c>
    </row>
    <row r="176" spans="1:4" x14ac:dyDescent="0.25">
      <c r="A176" s="12">
        <v>124176</v>
      </c>
      <c r="B176" s="11">
        <v>2624</v>
      </c>
      <c r="C176" s="17" t="s">
        <v>87</v>
      </c>
      <c r="D176" s="12" t="s">
        <v>233</v>
      </c>
    </row>
    <row r="177" spans="1:4" x14ac:dyDescent="0.25">
      <c r="A177" s="12">
        <v>128608</v>
      </c>
      <c r="B177" s="11">
        <v>2624</v>
      </c>
      <c r="C177" s="17" t="s">
        <v>87</v>
      </c>
      <c r="D177" s="12" t="s">
        <v>234</v>
      </c>
    </row>
    <row r="178" spans="1:4" x14ac:dyDescent="0.25">
      <c r="A178" s="12">
        <v>124176</v>
      </c>
      <c r="B178" s="11">
        <v>2624</v>
      </c>
      <c r="C178" s="17" t="s">
        <v>87</v>
      </c>
      <c r="D178" s="12" t="s">
        <v>233</v>
      </c>
    </row>
    <row r="179" spans="1:4" x14ac:dyDescent="0.25">
      <c r="A179" s="12">
        <v>130696</v>
      </c>
      <c r="B179" s="11">
        <v>2624</v>
      </c>
      <c r="C179" s="17" t="s">
        <v>87</v>
      </c>
      <c r="D179" s="12" t="s">
        <v>235</v>
      </c>
    </row>
    <row r="180" spans="1:4" x14ac:dyDescent="0.25">
      <c r="A180" s="12">
        <v>124436</v>
      </c>
      <c r="B180" s="11">
        <v>2624</v>
      </c>
      <c r="C180" s="17" t="s">
        <v>87</v>
      </c>
      <c r="D180" s="12" t="s">
        <v>236</v>
      </c>
    </row>
    <row r="181" spans="1:4" x14ac:dyDescent="0.25">
      <c r="A181" s="12">
        <v>128426</v>
      </c>
      <c r="B181" s="11">
        <v>2624</v>
      </c>
      <c r="C181" s="17" t="s">
        <v>87</v>
      </c>
      <c r="D181" s="12" t="s">
        <v>237</v>
      </c>
    </row>
    <row r="182" spans="1:4" x14ac:dyDescent="0.25">
      <c r="A182" s="12">
        <v>115442</v>
      </c>
      <c r="B182" s="11">
        <v>2624</v>
      </c>
      <c r="C182" s="17" t="s">
        <v>87</v>
      </c>
      <c r="D182" s="12" t="s">
        <v>238</v>
      </c>
    </row>
    <row r="183" spans="1:4" x14ac:dyDescent="0.25">
      <c r="A183" s="12">
        <v>121783</v>
      </c>
      <c r="B183" s="11">
        <v>2624</v>
      </c>
      <c r="C183" s="17" t="s">
        <v>87</v>
      </c>
      <c r="D183" s="12" t="s">
        <v>239</v>
      </c>
    </row>
    <row r="184" spans="1:4" x14ac:dyDescent="0.25">
      <c r="A184" s="12">
        <v>132260</v>
      </c>
      <c r="B184" s="11">
        <v>2624</v>
      </c>
      <c r="C184" s="17" t="s">
        <v>87</v>
      </c>
      <c r="D184" s="12" t="s">
        <v>240</v>
      </c>
    </row>
    <row r="185" spans="1:4" x14ac:dyDescent="0.25">
      <c r="A185" s="10">
        <v>127927</v>
      </c>
      <c r="B185" s="11">
        <v>2624</v>
      </c>
      <c r="C185" s="17" t="s">
        <v>87</v>
      </c>
      <c r="D185" s="12" t="s">
        <v>241</v>
      </c>
    </row>
    <row r="186" spans="1:4" x14ac:dyDescent="0.25">
      <c r="A186" s="12">
        <v>129167</v>
      </c>
      <c r="B186" s="11">
        <v>2624</v>
      </c>
      <c r="C186" s="17" t="s">
        <v>87</v>
      </c>
      <c r="D186" s="12" t="s">
        <v>242</v>
      </c>
    </row>
    <row r="187" spans="1:4" x14ac:dyDescent="0.25">
      <c r="A187" s="12">
        <v>131757</v>
      </c>
      <c r="B187" s="11">
        <v>2624</v>
      </c>
      <c r="C187" s="17" t="s">
        <v>87</v>
      </c>
      <c r="D187" s="12" t="s">
        <v>243</v>
      </c>
    </row>
    <row r="188" spans="1:4" x14ac:dyDescent="0.25">
      <c r="A188" s="12">
        <v>132151</v>
      </c>
      <c r="B188" s="11">
        <v>2624</v>
      </c>
      <c r="C188" s="17" t="s">
        <v>87</v>
      </c>
      <c r="D188" s="12" t="s">
        <v>244</v>
      </c>
    </row>
    <row r="189" spans="1:4" x14ac:dyDescent="0.25">
      <c r="A189" s="12">
        <v>132293</v>
      </c>
      <c r="B189" s="11">
        <v>2624</v>
      </c>
      <c r="C189" s="17" t="s">
        <v>87</v>
      </c>
      <c r="D189" s="12" t="s">
        <v>245</v>
      </c>
    </row>
    <row r="190" spans="1:4" x14ac:dyDescent="0.25">
      <c r="A190" s="12">
        <v>132150</v>
      </c>
      <c r="B190" s="11">
        <v>2624</v>
      </c>
      <c r="C190" s="17" t="s">
        <v>87</v>
      </c>
      <c r="D190" s="12" t="s">
        <v>246</v>
      </c>
    </row>
    <row r="191" spans="1:4" x14ac:dyDescent="0.25">
      <c r="A191" s="12">
        <v>132297</v>
      </c>
      <c r="B191" s="11">
        <v>2624</v>
      </c>
      <c r="C191" s="17" t="s">
        <v>87</v>
      </c>
      <c r="D191" s="12" t="s">
        <v>247</v>
      </c>
    </row>
    <row r="192" spans="1:4" x14ac:dyDescent="0.25">
      <c r="A192" s="12">
        <v>132291</v>
      </c>
      <c r="B192" s="11">
        <v>2624</v>
      </c>
      <c r="C192" s="17" t="s">
        <v>87</v>
      </c>
      <c r="D192" s="21" t="s">
        <v>248</v>
      </c>
    </row>
    <row r="193" spans="1:4" x14ac:dyDescent="0.25">
      <c r="A193" s="12">
        <v>132194</v>
      </c>
      <c r="B193" s="11">
        <v>2624</v>
      </c>
      <c r="C193" s="17" t="s">
        <v>87</v>
      </c>
      <c r="D193" s="12" t="s">
        <v>249</v>
      </c>
    </row>
    <row r="194" spans="1:4" x14ac:dyDescent="0.25">
      <c r="A194" s="12">
        <v>131576</v>
      </c>
      <c r="B194" s="11">
        <v>2624</v>
      </c>
      <c r="C194" s="17" t="s">
        <v>87</v>
      </c>
      <c r="D194" s="12" t="s">
        <v>250</v>
      </c>
    </row>
    <row r="195" spans="1:4" x14ac:dyDescent="0.25">
      <c r="A195" s="12">
        <v>132096</v>
      </c>
      <c r="B195" s="11">
        <v>2624</v>
      </c>
      <c r="C195" s="17" t="s">
        <v>87</v>
      </c>
      <c r="D195" s="12" t="s">
        <v>251</v>
      </c>
    </row>
    <row r="196" spans="1:4" x14ac:dyDescent="0.25">
      <c r="A196" s="12">
        <v>125315</v>
      </c>
      <c r="B196" s="11">
        <v>2624</v>
      </c>
      <c r="C196" s="17" t="s">
        <v>87</v>
      </c>
      <c r="D196" s="12" t="s">
        <v>252</v>
      </c>
    </row>
    <row r="197" spans="1:4" x14ac:dyDescent="0.25">
      <c r="A197" s="12">
        <v>132294</v>
      </c>
      <c r="B197" s="11">
        <v>2624</v>
      </c>
      <c r="C197" s="17" t="s">
        <v>87</v>
      </c>
      <c r="D197" s="12" t="s">
        <v>253</v>
      </c>
    </row>
    <row r="198" spans="1:4" x14ac:dyDescent="0.25">
      <c r="A198" s="12">
        <v>131745</v>
      </c>
      <c r="B198" s="11">
        <v>2624</v>
      </c>
      <c r="C198" s="17" t="s">
        <v>87</v>
      </c>
      <c r="D198" s="12" t="s">
        <v>254</v>
      </c>
    </row>
    <row r="199" spans="1:4" x14ac:dyDescent="0.25">
      <c r="A199" s="12">
        <v>132102</v>
      </c>
      <c r="B199" s="11">
        <v>2624</v>
      </c>
      <c r="C199" s="17" t="s">
        <v>87</v>
      </c>
      <c r="D199" s="12" t="s">
        <v>255</v>
      </c>
    </row>
    <row r="200" spans="1:4" x14ac:dyDescent="0.25">
      <c r="A200" s="12">
        <v>132205</v>
      </c>
      <c r="B200" s="11">
        <v>2624</v>
      </c>
      <c r="C200" s="17" t="s">
        <v>87</v>
      </c>
      <c r="D200" s="12" t="s">
        <v>256</v>
      </c>
    </row>
    <row r="201" spans="1:4" x14ac:dyDescent="0.25">
      <c r="A201" s="12">
        <v>132322</v>
      </c>
      <c r="B201" s="11">
        <v>2624</v>
      </c>
      <c r="C201" s="17" t="s">
        <v>87</v>
      </c>
      <c r="D201" s="12" t="s">
        <v>257</v>
      </c>
    </row>
    <row r="202" spans="1:4" x14ac:dyDescent="0.25">
      <c r="A202" s="12">
        <v>124894</v>
      </c>
      <c r="B202" s="11">
        <v>2624</v>
      </c>
      <c r="C202" s="17" t="s">
        <v>87</v>
      </c>
      <c r="D202" s="12" t="s">
        <v>258</v>
      </c>
    </row>
    <row r="203" spans="1:4" x14ac:dyDescent="0.25">
      <c r="A203" s="12">
        <v>132308</v>
      </c>
      <c r="B203" s="11">
        <v>2624</v>
      </c>
      <c r="C203" s="17" t="s">
        <v>87</v>
      </c>
      <c r="D203" s="12" t="s">
        <v>259</v>
      </c>
    </row>
    <row r="204" spans="1:4" x14ac:dyDescent="0.25">
      <c r="A204" s="12">
        <v>132177</v>
      </c>
      <c r="B204" s="11">
        <v>2624</v>
      </c>
      <c r="C204" s="17" t="s">
        <v>87</v>
      </c>
      <c r="D204" s="12" t="s">
        <v>260</v>
      </c>
    </row>
    <row r="205" spans="1:4" x14ac:dyDescent="0.25">
      <c r="A205" s="12">
        <v>132266</v>
      </c>
      <c r="B205" s="11">
        <v>2624</v>
      </c>
      <c r="C205" s="17" t="s">
        <v>87</v>
      </c>
      <c r="D205" s="12" t="s">
        <v>261</v>
      </c>
    </row>
    <row r="206" spans="1:4" x14ac:dyDescent="0.25">
      <c r="A206" s="12">
        <v>122977</v>
      </c>
      <c r="B206" s="11">
        <v>2624</v>
      </c>
      <c r="C206" s="17" t="s">
        <v>87</v>
      </c>
      <c r="D206" s="12" t="s">
        <v>262</v>
      </c>
    </row>
    <row r="207" spans="1:4" x14ac:dyDescent="0.25">
      <c r="A207" s="12">
        <v>132336</v>
      </c>
      <c r="B207" s="11">
        <v>2624</v>
      </c>
      <c r="C207" s="17" t="s">
        <v>87</v>
      </c>
      <c r="D207" s="12" t="s">
        <v>263</v>
      </c>
    </row>
    <row r="208" spans="1:4" x14ac:dyDescent="0.25">
      <c r="A208" s="12">
        <v>132314</v>
      </c>
      <c r="B208" s="11">
        <v>2624</v>
      </c>
      <c r="C208" s="17" t="s">
        <v>87</v>
      </c>
      <c r="D208" s="12" t="s">
        <v>264</v>
      </c>
    </row>
    <row r="209" spans="1:4" x14ac:dyDescent="0.25">
      <c r="A209" s="12">
        <v>132341</v>
      </c>
      <c r="B209" s="11">
        <v>2624</v>
      </c>
      <c r="C209" s="17" t="s">
        <v>87</v>
      </c>
      <c r="D209" s="12" t="s">
        <v>265</v>
      </c>
    </row>
    <row r="210" spans="1:4" x14ac:dyDescent="0.25">
      <c r="A210" s="12">
        <v>127000</v>
      </c>
      <c r="B210" s="11">
        <v>2624</v>
      </c>
      <c r="C210" s="17" t="s">
        <v>156</v>
      </c>
      <c r="D210" s="12" t="s">
        <v>211</v>
      </c>
    </row>
    <row r="211" spans="1:4" x14ac:dyDescent="0.25">
      <c r="A211" s="12">
        <v>131953</v>
      </c>
      <c r="B211" s="11">
        <v>2624</v>
      </c>
      <c r="C211" s="17" t="s">
        <v>156</v>
      </c>
      <c r="D211" s="12" t="s">
        <v>266</v>
      </c>
    </row>
    <row r="212" spans="1:4" x14ac:dyDescent="0.25">
      <c r="A212" s="12">
        <v>125840</v>
      </c>
      <c r="B212" s="11">
        <v>2624</v>
      </c>
      <c r="C212" s="17" t="s">
        <v>156</v>
      </c>
      <c r="D212" s="12" t="s">
        <v>267</v>
      </c>
    </row>
    <row r="213" spans="1:4" x14ac:dyDescent="0.25">
      <c r="A213" s="12">
        <v>131864</v>
      </c>
      <c r="B213" s="11">
        <v>2624</v>
      </c>
      <c r="C213" s="17" t="s">
        <v>156</v>
      </c>
      <c r="D213" s="12" t="s">
        <v>268</v>
      </c>
    </row>
    <row r="214" spans="1:4" x14ac:dyDescent="0.25">
      <c r="A214" s="12">
        <v>125251</v>
      </c>
      <c r="B214" s="11">
        <v>2624</v>
      </c>
      <c r="C214" s="17" t="s">
        <v>156</v>
      </c>
      <c r="D214" s="12" t="s">
        <v>269</v>
      </c>
    </row>
    <row r="215" spans="1:4" x14ac:dyDescent="0.25">
      <c r="A215" s="12">
        <v>129028</v>
      </c>
      <c r="B215" s="11">
        <v>2624</v>
      </c>
      <c r="C215" s="17" t="s">
        <v>156</v>
      </c>
      <c r="D215" s="12" t="s">
        <v>270</v>
      </c>
    </row>
    <row r="216" spans="1:4" x14ac:dyDescent="0.25">
      <c r="A216" s="12">
        <v>128211</v>
      </c>
      <c r="B216" s="11">
        <v>2624</v>
      </c>
      <c r="C216" s="17" t="s">
        <v>156</v>
      </c>
      <c r="D216" s="12" t="s">
        <v>271</v>
      </c>
    </row>
    <row r="217" spans="1:4" x14ac:dyDescent="0.25">
      <c r="A217" s="12">
        <v>123496</v>
      </c>
      <c r="B217" s="11">
        <v>2624</v>
      </c>
      <c r="C217" s="17" t="s">
        <v>156</v>
      </c>
      <c r="D217" s="12" t="s">
        <v>209</v>
      </c>
    </row>
    <row r="218" spans="1:4" x14ac:dyDescent="0.25">
      <c r="A218" s="12">
        <v>130891</v>
      </c>
      <c r="B218" s="11">
        <v>2624</v>
      </c>
      <c r="C218" s="17" t="s">
        <v>156</v>
      </c>
      <c r="D218" s="12" t="s">
        <v>272</v>
      </c>
    </row>
    <row r="219" spans="1:4" x14ac:dyDescent="0.25">
      <c r="A219" s="12">
        <v>124358</v>
      </c>
      <c r="B219" s="11">
        <v>2624</v>
      </c>
      <c r="C219" s="17" t="s">
        <v>156</v>
      </c>
      <c r="D219" s="12" t="s">
        <v>273</v>
      </c>
    </row>
    <row r="220" spans="1:4" x14ac:dyDescent="0.25">
      <c r="A220" s="12">
        <v>125800</v>
      </c>
      <c r="B220" s="11">
        <v>2624</v>
      </c>
      <c r="C220" s="17" t="s">
        <v>156</v>
      </c>
      <c r="D220" s="12" t="s">
        <v>274</v>
      </c>
    </row>
    <row r="221" spans="1:4" x14ac:dyDescent="0.25">
      <c r="A221" s="12">
        <v>129167</v>
      </c>
      <c r="B221" s="11">
        <v>2624</v>
      </c>
      <c r="C221" s="17" t="s">
        <v>156</v>
      </c>
      <c r="D221" s="12" t="s">
        <v>275</v>
      </c>
    </row>
    <row r="222" spans="1:4" x14ac:dyDescent="0.25">
      <c r="A222" s="12">
        <v>129450</v>
      </c>
      <c r="B222" s="11">
        <v>2624</v>
      </c>
      <c r="C222" s="17" t="s">
        <v>156</v>
      </c>
      <c r="D222" s="12" t="s">
        <v>276</v>
      </c>
    </row>
    <row r="223" spans="1:4" x14ac:dyDescent="0.25">
      <c r="A223" s="12">
        <v>274214</v>
      </c>
      <c r="B223" s="11">
        <v>2776</v>
      </c>
      <c r="C223" s="17" t="s">
        <v>156</v>
      </c>
      <c r="D223" s="12" t="s">
        <v>277</v>
      </c>
    </row>
    <row r="224" spans="1:4" x14ac:dyDescent="0.25">
      <c r="A224" s="12">
        <v>131757</v>
      </c>
      <c r="B224" s="11">
        <v>2624</v>
      </c>
      <c r="C224" s="17" t="s">
        <v>156</v>
      </c>
      <c r="D224" s="12" t="s">
        <v>278</v>
      </c>
    </row>
    <row r="225" spans="1:4" x14ac:dyDescent="0.25">
      <c r="A225" s="12">
        <v>128426</v>
      </c>
      <c r="B225" s="11">
        <v>2624</v>
      </c>
      <c r="C225" s="17" t="s">
        <v>156</v>
      </c>
      <c r="D225" s="12" t="s">
        <v>237</v>
      </c>
    </row>
    <row r="226" spans="1:4" x14ac:dyDescent="0.25">
      <c r="A226" s="12">
        <v>126032</v>
      </c>
      <c r="B226" s="11">
        <v>2624</v>
      </c>
      <c r="C226" s="17" t="s">
        <v>156</v>
      </c>
      <c r="D226" s="12" t="s">
        <v>279</v>
      </c>
    </row>
    <row r="227" spans="1:4" x14ac:dyDescent="0.25">
      <c r="A227" s="12">
        <v>130484</v>
      </c>
      <c r="B227" s="11">
        <v>2624</v>
      </c>
      <c r="C227" s="17" t="s">
        <v>156</v>
      </c>
      <c r="D227" s="12" t="s">
        <v>280</v>
      </c>
    </row>
    <row r="228" spans="1:4" x14ac:dyDescent="0.25">
      <c r="A228" s="12">
        <v>126062</v>
      </c>
      <c r="B228" s="11">
        <v>2624</v>
      </c>
      <c r="C228" s="17" t="s">
        <v>156</v>
      </c>
      <c r="D228" s="12" t="s">
        <v>281</v>
      </c>
    </row>
    <row r="229" spans="1:4" x14ac:dyDescent="0.25">
      <c r="A229" s="12">
        <v>132184</v>
      </c>
      <c r="B229" s="11">
        <v>2624</v>
      </c>
      <c r="C229" s="17" t="s">
        <v>156</v>
      </c>
      <c r="D229" s="12" t="s">
        <v>282</v>
      </c>
    </row>
    <row r="230" spans="1:4" x14ac:dyDescent="0.25">
      <c r="A230" s="12">
        <v>124084</v>
      </c>
      <c r="B230" s="11">
        <v>2624</v>
      </c>
      <c r="C230" s="17" t="s">
        <v>156</v>
      </c>
      <c r="D230" s="12" t="s">
        <v>283</v>
      </c>
    </row>
    <row r="231" spans="1:4" x14ac:dyDescent="0.25">
      <c r="A231" s="12">
        <v>125482</v>
      </c>
      <c r="B231" s="11">
        <v>2624</v>
      </c>
      <c r="C231" s="17" t="s">
        <v>156</v>
      </c>
      <c r="D231" s="12" t="s">
        <v>284</v>
      </c>
    </row>
    <row r="232" spans="1:4" x14ac:dyDescent="0.25">
      <c r="A232" s="12">
        <v>124612</v>
      </c>
      <c r="B232" s="11">
        <v>2624</v>
      </c>
      <c r="C232" s="17" t="s">
        <v>156</v>
      </c>
      <c r="D232" s="12" t="s">
        <v>285</v>
      </c>
    </row>
    <row r="233" spans="1:4" x14ac:dyDescent="0.25">
      <c r="A233" s="12">
        <v>125718</v>
      </c>
      <c r="B233" s="11">
        <v>2624</v>
      </c>
      <c r="C233" s="17" t="s">
        <v>156</v>
      </c>
      <c r="D233" s="12" t="s">
        <v>286</v>
      </c>
    </row>
    <row r="234" spans="1:4" x14ac:dyDescent="0.25">
      <c r="A234" s="12">
        <v>124176</v>
      </c>
      <c r="B234" s="11">
        <v>2624</v>
      </c>
      <c r="C234" s="17" t="s">
        <v>156</v>
      </c>
      <c r="D234" s="12" t="s">
        <v>233</v>
      </c>
    </row>
    <row r="235" spans="1:4" x14ac:dyDescent="0.25">
      <c r="A235" s="12">
        <v>128608</v>
      </c>
      <c r="B235" s="11">
        <v>2624</v>
      </c>
      <c r="C235" s="17" t="s">
        <v>156</v>
      </c>
      <c r="D235" s="12" t="s">
        <v>234</v>
      </c>
    </row>
    <row r="236" spans="1:4" x14ac:dyDescent="0.25">
      <c r="A236" s="12">
        <v>128015</v>
      </c>
      <c r="B236" s="11">
        <v>2624</v>
      </c>
      <c r="C236" s="17" t="s">
        <v>156</v>
      </c>
      <c r="D236" s="12" t="s">
        <v>287</v>
      </c>
    </row>
    <row r="237" spans="1:4" x14ac:dyDescent="0.25">
      <c r="A237" s="12">
        <v>121795</v>
      </c>
      <c r="B237" s="11">
        <v>2624</v>
      </c>
      <c r="C237" s="17" t="s">
        <v>156</v>
      </c>
      <c r="D237" s="12" t="s">
        <v>220</v>
      </c>
    </row>
    <row r="238" spans="1:4" x14ac:dyDescent="0.25">
      <c r="A238" s="12">
        <v>129176</v>
      </c>
      <c r="B238" s="11">
        <v>2624</v>
      </c>
      <c r="C238" s="17" t="s">
        <v>156</v>
      </c>
      <c r="D238" s="12" t="s">
        <v>288</v>
      </c>
    </row>
    <row r="239" spans="1:4" x14ac:dyDescent="0.25">
      <c r="A239" s="12">
        <v>132151</v>
      </c>
      <c r="B239" s="11">
        <v>2624</v>
      </c>
      <c r="C239" s="17" t="s">
        <v>156</v>
      </c>
      <c r="D239" s="12" t="s">
        <v>289</v>
      </c>
    </row>
    <row r="240" spans="1:4" x14ac:dyDescent="0.25">
      <c r="A240" s="12">
        <v>127987</v>
      </c>
      <c r="B240" s="11">
        <v>2624</v>
      </c>
      <c r="C240" s="17" t="s">
        <v>156</v>
      </c>
      <c r="D240" s="12" t="s">
        <v>290</v>
      </c>
    </row>
    <row r="241" spans="1:4" x14ac:dyDescent="0.25">
      <c r="A241" s="12">
        <v>132036</v>
      </c>
      <c r="B241" s="11">
        <v>2624</v>
      </c>
      <c r="C241" s="17" t="s">
        <v>156</v>
      </c>
      <c r="D241" s="12" t="s">
        <v>291</v>
      </c>
    </row>
    <row r="242" spans="1:4" x14ac:dyDescent="0.25">
      <c r="A242" s="12">
        <v>124412</v>
      </c>
      <c r="B242" s="11">
        <v>2624</v>
      </c>
      <c r="C242" s="17" t="s">
        <v>156</v>
      </c>
      <c r="D242" s="12" t="s">
        <v>292</v>
      </c>
    </row>
    <row r="243" spans="1:4" x14ac:dyDescent="0.25">
      <c r="A243" s="12">
        <v>129449</v>
      </c>
      <c r="B243" s="11">
        <v>2624</v>
      </c>
      <c r="C243" s="17" t="s">
        <v>156</v>
      </c>
      <c r="D243" s="12" t="s">
        <v>293</v>
      </c>
    </row>
    <row r="244" spans="1:4" x14ac:dyDescent="0.25">
      <c r="A244" s="12">
        <v>125142</v>
      </c>
      <c r="B244" s="11">
        <v>2624</v>
      </c>
      <c r="C244" s="17" t="s">
        <v>156</v>
      </c>
      <c r="D244" s="12" t="s">
        <v>294</v>
      </c>
    </row>
    <row r="245" spans="1:4" x14ac:dyDescent="0.25">
      <c r="A245" s="12">
        <v>131999</v>
      </c>
      <c r="B245" s="11">
        <v>2624</v>
      </c>
      <c r="C245" s="17" t="s">
        <v>156</v>
      </c>
      <c r="D245" s="12" t="s">
        <v>295</v>
      </c>
    </row>
    <row r="246" spans="1:4" x14ac:dyDescent="0.25">
      <c r="A246" s="12">
        <v>126072</v>
      </c>
      <c r="B246" s="11">
        <v>2624</v>
      </c>
      <c r="C246" s="17" t="s">
        <v>156</v>
      </c>
      <c r="D246" s="12" t="s">
        <v>296</v>
      </c>
    </row>
    <row r="247" spans="1:4" x14ac:dyDescent="0.25">
      <c r="A247" s="12">
        <v>123315</v>
      </c>
      <c r="B247" s="11">
        <v>2624</v>
      </c>
      <c r="C247" s="17" t="s">
        <v>156</v>
      </c>
      <c r="D247" s="12" t="s">
        <v>297</v>
      </c>
    </row>
    <row r="248" spans="1:4" x14ac:dyDescent="0.25">
      <c r="A248" s="12">
        <v>126180</v>
      </c>
      <c r="B248" s="11">
        <v>2624</v>
      </c>
      <c r="C248" s="17" t="s">
        <v>156</v>
      </c>
      <c r="D248" s="12" t="s">
        <v>298</v>
      </c>
    </row>
    <row r="249" spans="1:4" x14ac:dyDescent="0.25">
      <c r="A249" s="12">
        <v>128464</v>
      </c>
      <c r="B249" s="11">
        <v>2624</v>
      </c>
      <c r="C249" s="17" t="s">
        <v>156</v>
      </c>
      <c r="D249" s="12" t="s">
        <v>299</v>
      </c>
    </row>
    <row r="250" spans="1:4" x14ac:dyDescent="0.25">
      <c r="A250" s="12">
        <v>121783</v>
      </c>
      <c r="B250" s="11">
        <v>2624</v>
      </c>
      <c r="C250" s="17" t="s">
        <v>156</v>
      </c>
      <c r="D250" s="12" t="s">
        <v>239</v>
      </c>
    </row>
    <row r="251" spans="1:4" x14ac:dyDescent="0.25">
      <c r="A251" s="12">
        <v>128347</v>
      </c>
      <c r="B251" s="11">
        <v>2624</v>
      </c>
      <c r="C251" s="17" t="s">
        <v>156</v>
      </c>
      <c r="D251" s="12" t="s">
        <v>300</v>
      </c>
    </row>
    <row r="252" spans="1:4" x14ac:dyDescent="0.25">
      <c r="A252" s="12">
        <v>111993</v>
      </c>
      <c r="B252" s="11">
        <v>2624</v>
      </c>
      <c r="C252" s="17" t="s">
        <v>156</v>
      </c>
      <c r="D252" s="12" t="s">
        <v>301</v>
      </c>
    </row>
    <row r="253" spans="1:4" x14ac:dyDescent="0.25">
      <c r="A253" s="12">
        <v>127927</v>
      </c>
      <c r="B253" s="11">
        <v>2624</v>
      </c>
      <c r="C253" s="17" t="s">
        <v>156</v>
      </c>
      <c r="D253" s="12" t="s">
        <v>241</v>
      </c>
    </row>
    <row r="254" spans="1:4" x14ac:dyDescent="0.25">
      <c r="A254" s="12">
        <v>124690</v>
      </c>
      <c r="B254" s="11">
        <v>2624</v>
      </c>
      <c r="C254" s="17" t="s">
        <v>156</v>
      </c>
      <c r="D254" s="12" t="s">
        <v>302</v>
      </c>
    </row>
    <row r="255" spans="1:4" x14ac:dyDescent="0.25">
      <c r="A255" s="12">
        <v>128365</v>
      </c>
      <c r="B255" s="11">
        <v>2624</v>
      </c>
      <c r="C255" s="17" t="s">
        <v>156</v>
      </c>
      <c r="D255" s="12" t="s">
        <v>303</v>
      </c>
    </row>
    <row r="256" spans="1:4" x14ac:dyDescent="0.25">
      <c r="A256" s="12">
        <v>124301</v>
      </c>
      <c r="B256" s="11">
        <v>2624</v>
      </c>
      <c r="C256" s="17" t="s">
        <v>156</v>
      </c>
      <c r="D256" s="12" t="s">
        <v>304</v>
      </c>
    </row>
    <row r="257" spans="1:4" x14ac:dyDescent="0.25">
      <c r="A257" s="12">
        <v>127878</v>
      </c>
      <c r="B257" s="11">
        <v>2624</v>
      </c>
      <c r="C257" s="17" t="s">
        <v>156</v>
      </c>
      <c r="D257" s="12" t="s">
        <v>305</v>
      </c>
    </row>
    <row r="258" spans="1:4" x14ac:dyDescent="0.25">
      <c r="A258" s="12">
        <v>131139</v>
      </c>
      <c r="B258" s="11">
        <v>2624</v>
      </c>
      <c r="C258" s="17" t="s">
        <v>156</v>
      </c>
      <c r="D258" s="12" t="s">
        <v>306</v>
      </c>
    </row>
    <row r="259" spans="1:4" x14ac:dyDescent="0.25">
      <c r="A259" s="12">
        <v>128039</v>
      </c>
      <c r="B259" s="11">
        <v>2624</v>
      </c>
      <c r="C259" s="17" t="s">
        <v>156</v>
      </c>
      <c r="D259" s="12" t="s">
        <v>307</v>
      </c>
    </row>
    <row r="260" spans="1:4" x14ac:dyDescent="0.25">
      <c r="A260" s="12">
        <v>128957</v>
      </c>
      <c r="B260" s="11">
        <v>2624</v>
      </c>
      <c r="C260" s="17" t="s">
        <v>156</v>
      </c>
      <c r="D260" s="12" t="s">
        <v>308</v>
      </c>
    </row>
    <row r="261" spans="1:4" x14ac:dyDescent="0.25">
      <c r="A261" s="12">
        <v>129000</v>
      </c>
      <c r="B261" s="11">
        <v>2624</v>
      </c>
      <c r="C261" s="17" t="s">
        <v>156</v>
      </c>
      <c r="D261" s="12" t="s">
        <v>309</v>
      </c>
    </row>
    <row r="262" spans="1:4" x14ac:dyDescent="0.25">
      <c r="A262" s="12">
        <v>124224</v>
      </c>
      <c r="B262" s="11">
        <v>2624</v>
      </c>
      <c r="C262" s="17" t="s">
        <v>156</v>
      </c>
      <c r="D262" s="12" t="s">
        <v>310</v>
      </c>
    </row>
    <row r="263" spans="1:4" x14ac:dyDescent="0.25">
      <c r="A263" s="12">
        <v>123494</v>
      </c>
      <c r="B263" s="11">
        <v>2624</v>
      </c>
      <c r="C263" s="17" t="s">
        <v>156</v>
      </c>
      <c r="D263" s="12" t="s">
        <v>311</v>
      </c>
    </row>
    <row r="264" spans="1:4" x14ac:dyDescent="0.25">
      <c r="A264" s="12">
        <v>127997</v>
      </c>
      <c r="B264" s="11">
        <v>2624</v>
      </c>
      <c r="C264" s="17" t="s">
        <v>156</v>
      </c>
      <c r="D264" s="12" t="s">
        <v>312</v>
      </c>
    </row>
    <row r="265" spans="1:4" x14ac:dyDescent="0.25">
      <c r="A265" s="12">
        <v>126970</v>
      </c>
      <c r="B265" s="11">
        <v>2624</v>
      </c>
      <c r="C265" s="17" t="s">
        <v>156</v>
      </c>
      <c r="D265" s="12" t="s">
        <v>313</v>
      </c>
    </row>
    <row r="266" spans="1:4" x14ac:dyDescent="0.25">
      <c r="A266" s="12">
        <v>128658</v>
      </c>
      <c r="B266" s="11">
        <v>2624</v>
      </c>
      <c r="C266" s="17" t="s">
        <v>156</v>
      </c>
      <c r="D266" s="12" t="s">
        <v>314</v>
      </c>
    </row>
    <row r="267" spans="1:4" x14ac:dyDescent="0.25">
      <c r="A267" s="12">
        <v>123766</v>
      </c>
      <c r="B267" s="11">
        <v>2624</v>
      </c>
      <c r="C267" s="17" t="s">
        <v>156</v>
      </c>
      <c r="D267" s="12" t="s">
        <v>315</v>
      </c>
    </row>
    <row r="268" spans="1:4" x14ac:dyDescent="0.25">
      <c r="A268" s="12">
        <v>127848</v>
      </c>
      <c r="B268" s="11">
        <v>2624</v>
      </c>
      <c r="C268" s="17" t="s">
        <v>156</v>
      </c>
      <c r="D268" s="12" t="s">
        <v>316</v>
      </c>
    </row>
    <row r="269" spans="1:4" x14ac:dyDescent="0.25">
      <c r="A269" s="12">
        <v>132305</v>
      </c>
      <c r="B269" s="11">
        <v>2624</v>
      </c>
      <c r="C269" s="17" t="s">
        <v>156</v>
      </c>
      <c r="D269" s="12" t="s">
        <v>317</v>
      </c>
    </row>
    <row r="270" spans="1:4" x14ac:dyDescent="0.25">
      <c r="A270" s="12">
        <v>127828</v>
      </c>
      <c r="B270" s="11">
        <v>2624</v>
      </c>
      <c r="C270" s="17" t="s">
        <v>156</v>
      </c>
      <c r="D270" s="12" t="s">
        <v>318</v>
      </c>
    </row>
    <row r="271" spans="1:4" x14ac:dyDescent="0.25">
      <c r="A271" s="12">
        <v>127605</v>
      </c>
      <c r="B271" s="11">
        <v>2624</v>
      </c>
      <c r="C271" s="17" t="s">
        <v>156</v>
      </c>
      <c r="D271" s="12" t="s">
        <v>319</v>
      </c>
    </row>
    <row r="272" spans="1:4" x14ac:dyDescent="0.25">
      <c r="A272" s="12">
        <v>124076</v>
      </c>
      <c r="B272" s="11">
        <v>2624</v>
      </c>
      <c r="C272" s="17" t="s">
        <v>156</v>
      </c>
      <c r="D272" s="12" t="s">
        <v>320</v>
      </c>
    </row>
    <row r="273" spans="1:10" x14ac:dyDescent="0.25">
      <c r="A273" s="12">
        <v>131512</v>
      </c>
      <c r="B273" s="11">
        <v>2624</v>
      </c>
      <c r="C273" s="17" t="s">
        <v>156</v>
      </c>
      <c r="D273" s="12" t="s">
        <v>321</v>
      </c>
    </row>
    <row r="274" spans="1:10" x14ac:dyDescent="0.25">
      <c r="A274" s="12">
        <v>132307</v>
      </c>
      <c r="B274" s="11">
        <v>2624</v>
      </c>
      <c r="C274" s="17" t="s">
        <v>156</v>
      </c>
      <c r="D274" s="12" t="s">
        <v>322</v>
      </c>
    </row>
    <row r="275" spans="1:10" x14ac:dyDescent="0.25">
      <c r="A275" s="12">
        <v>350574</v>
      </c>
      <c r="B275" s="11">
        <v>2690</v>
      </c>
      <c r="C275" s="17" t="s">
        <v>11</v>
      </c>
      <c r="D275" s="12" t="s">
        <v>323</v>
      </c>
    </row>
    <row r="276" spans="1:10" x14ac:dyDescent="0.25">
      <c r="A276" s="12">
        <v>350994</v>
      </c>
      <c r="B276" s="11">
        <v>2690</v>
      </c>
      <c r="C276" s="17" t="s">
        <v>11</v>
      </c>
      <c r="D276" s="12" t="s">
        <v>324</v>
      </c>
    </row>
    <row r="277" spans="1:10" x14ac:dyDescent="0.25">
      <c r="A277" s="12">
        <v>350502</v>
      </c>
      <c r="B277" s="11">
        <v>2690</v>
      </c>
      <c r="C277" s="17" t="s">
        <v>11</v>
      </c>
      <c r="D277" s="12" t="s">
        <v>325</v>
      </c>
    </row>
    <row r="278" spans="1:10" x14ac:dyDescent="0.25">
      <c r="A278" s="12">
        <v>351380</v>
      </c>
      <c r="B278" s="11">
        <v>2690</v>
      </c>
      <c r="C278" s="17" t="s">
        <v>11</v>
      </c>
      <c r="D278" s="12" t="s">
        <v>326</v>
      </c>
    </row>
    <row r="279" spans="1:10" x14ac:dyDescent="0.25">
      <c r="A279" s="12">
        <v>351631</v>
      </c>
      <c r="B279" s="11">
        <v>2690</v>
      </c>
      <c r="C279" s="17" t="s">
        <v>11</v>
      </c>
      <c r="D279" s="12" t="s">
        <v>327</v>
      </c>
    </row>
    <row r="280" spans="1:10" x14ac:dyDescent="0.25">
      <c r="A280" s="12">
        <v>352346</v>
      </c>
      <c r="B280" s="11">
        <v>2690</v>
      </c>
      <c r="C280" s="17" t="s">
        <v>11</v>
      </c>
      <c r="D280" s="12" t="s">
        <v>328</v>
      </c>
    </row>
    <row r="281" spans="1:10" x14ac:dyDescent="0.25">
      <c r="A281" s="12">
        <v>354230</v>
      </c>
      <c r="B281" s="11">
        <v>2690</v>
      </c>
      <c r="C281" s="17" t="s">
        <v>11</v>
      </c>
      <c r="D281" s="12" t="s">
        <v>329</v>
      </c>
    </row>
    <row r="282" spans="1:10" x14ac:dyDescent="0.25">
      <c r="A282" s="12">
        <v>351394</v>
      </c>
      <c r="B282" s="11">
        <v>2690</v>
      </c>
      <c r="C282" s="17" t="s">
        <v>11</v>
      </c>
      <c r="D282" s="12" t="s">
        <v>330</v>
      </c>
    </row>
    <row r="283" spans="1:10" x14ac:dyDescent="0.25">
      <c r="A283" s="12">
        <v>350438</v>
      </c>
      <c r="B283" s="11">
        <v>2690</v>
      </c>
      <c r="C283" s="17" t="s">
        <v>11</v>
      </c>
      <c r="D283" s="12" t="s">
        <v>331</v>
      </c>
    </row>
    <row r="284" spans="1:10" ht="240" x14ac:dyDescent="0.25">
      <c r="A284" s="12">
        <v>354476</v>
      </c>
      <c r="B284" s="11">
        <v>2690</v>
      </c>
      <c r="C284" s="17" t="s">
        <v>11</v>
      </c>
      <c r="D284" s="12" t="s">
        <v>332</v>
      </c>
      <c r="E284">
        <v>3</v>
      </c>
      <c r="F284" s="25" t="s">
        <v>1086</v>
      </c>
      <c r="G284" s="25" t="s">
        <v>1087</v>
      </c>
      <c r="H284" s="25" t="s">
        <v>1088</v>
      </c>
      <c r="I284" s="25" t="s">
        <v>1089</v>
      </c>
      <c r="J284" s="25" t="s">
        <v>1090</v>
      </c>
    </row>
    <row r="285" spans="1:10" x14ac:dyDescent="0.25">
      <c r="A285" s="12">
        <v>350237</v>
      </c>
      <c r="B285" s="11">
        <v>2690</v>
      </c>
      <c r="C285" s="17" t="s">
        <v>11</v>
      </c>
      <c r="D285" s="12" t="s">
        <v>333</v>
      </c>
    </row>
    <row r="286" spans="1:10" x14ac:dyDescent="0.25">
      <c r="A286" s="10">
        <v>351222</v>
      </c>
      <c r="B286" s="11">
        <v>2690</v>
      </c>
      <c r="C286" s="17" t="s">
        <v>11</v>
      </c>
      <c r="D286" s="10" t="s">
        <v>334</v>
      </c>
    </row>
    <row r="287" spans="1:10" x14ac:dyDescent="0.25">
      <c r="A287" s="12">
        <v>354134</v>
      </c>
      <c r="B287" s="11">
        <v>2690</v>
      </c>
      <c r="C287" s="17" t="s">
        <v>11</v>
      </c>
      <c r="D287" s="12" t="s">
        <v>335</v>
      </c>
    </row>
    <row r="288" spans="1:10" x14ac:dyDescent="0.25">
      <c r="A288" s="10">
        <v>356807</v>
      </c>
      <c r="B288" s="11">
        <v>2690</v>
      </c>
      <c r="C288" s="17" t="s">
        <v>11</v>
      </c>
      <c r="D288" s="10" t="s">
        <v>336</v>
      </c>
    </row>
    <row r="289" spans="1:4" x14ac:dyDescent="0.25">
      <c r="A289" s="10">
        <v>351891</v>
      </c>
      <c r="B289" s="11">
        <v>2690</v>
      </c>
      <c r="C289" s="17" t="s">
        <v>11</v>
      </c>
      <c r="D289" s="12" t="s">
        <v>337</v>
      </c>
    </row>
    <row r="290" spans="1:4" x14ac:dyDescent="0.25">
      <c r="A290" s="12">
        <v>354121</v>
      </c>
      <c r="B290" s="11">
        <v>2690</v>
      </c>
      <c r="C290" s="17" t="s">
        <v>11</v>
      </c>
      <c r="D290" s="12" t="s">
        <v>338</v>
      </c>
    </row>
    <row r="291" spans="1:4" x14ac:dyDescent="0.25">
      <c r="A291" s="10">
        <v>350283</v>
      </c>
      <c r="B291" s="11">
        <v>2690</v>
      </c>
      <c r="C291" s="17" t="s">
        <v>11</v>
      </c>
      <c r="D291" s="10" t="s">
        <v>339</v>
      </c>
    </row>
    <row r="292" spans="1:4" x14ac:dyDescent="0.25">
      <c r="A292" s="10">
        <v>351097</v>
      </c>
      <c r="B292" s="11">
        <v>2690</v>
      </c>
      <c r="C292" s="17" t="s">
        <v>11</v>
      </c>
      <c r="D292" s="10" t="s">
        <v>340</v>
      </c>
    </row>
    <row r="293" spans="1:4" x14ac:dyDescent="0.25">
      <c r="A293" s="10">
        <v>354637</v>
      </c>
      <c r="B293" s="11">
        <v>2690</v>
      </c>
      <c r="C293" s="17" t="s">
        <v>11</v>
      </c>
      <c r="D293" s="10" t="s">
        <v>341</v>
      </c>
    </row>
    <row r="294" spans="1:4" x14ac:dyDescent="0.25">
      <c r="A294" s="12">
        <v>350412</v>
      </c>
      <c r="B294" s="11">
        <v>2690</v>
      </c>
      <c r="C294" s="17" t="s">
        <v>11</v>
      </c>
      <c r="D294" s="12" t="s">
        <v>342</v>
      </c>
    </row>
    <row r="295" spans="1:4" x14ac:dyDescent="0.25">
      <c r="A295" s="12">
        <v>356869</v>
      </c>
      <c r="B295" s="11">
        <v>2690</v>
      </c>
      <c r="C295" s="17" t="s">
        <v>11</v>
      </c>
      <c r="D295" s="12" t="s">
        <v>343</v>
      </c>
    </row>
    <row r="296" spans="1:4" x14ac:dyDescent="0.25">
      <c r="A296" s="12">
        <v>351676</v>
      </c>
      <c r="B296" s="11">
        <v>2690</v>
      </c>
      <c r="C296" s="17" t="s">
        <v>11</v>
      </c>
      <c r="D296" s="12" t="s">
        <v>344</v>
      </c>
    </row>
    <row r="297" spans="1:4" x14ac:dyDescent="0.25">
      <c r="A297" s="10">
        <v>350293</v>
      </c>
      <c r="B297" s="11">
        <v>2690</v>
      </c>
      <c r="C297" s="17" t="s">
        <v>11</v>
      </c>
      <c r="D297" s="10" t="s">
        <v>345</v>
      </c>
    </row>
    <row r="298" spans="1:4" x14ac:dyDescent="0.25">
      <c r="A298" s="22">
        <v>351595</v>
      </c>
      <c r="B298" s="11">
        <v>2690</v>
      </c>
      <c r="C298" s="17" t="s">
        <v>11</v>
      </c>
      <c r="D298" s="10" t="s">
        <v>346</v>
      </c>
    </row>
    <row r="299" spans="1:4" x14ac:dyDescent="0.25">
      <c r="A299" s="22">
        <v>356790</v>
      </c>
      <c r="B299" s="11">
        <v>2690</v>
      </c>
      <c r="C299" s="17" t="s">
        <v>11</v>
      </c>
      <c r="D299" s="10" t="s">
        <v>347</v>
      </c>
    </row>
    <row r="300" spans="1:4" x14ac:dyDescent="0.25">
      <c r="A300" s="10">
        <v>354213</v>
      </c>
      <c r="B300" s="11">
        <v>2690</v>
      </c>
      <c r="C300" s="17" t="s">
        <v>11</v>
      </c>
      <c r="D300" s="10" t="s">
        <v>348</v>
      </c>
    </row>
    <row r="301" spans="1:4" x14ac:dyDescent="0.25">
      <c r="A301" s="12">
        <v>392985</v>
      </c>
      <c r="B301" s="11">
        <v>2690</v>
      </c>
      <c r="C301" s="17" t="s">
        <v>87</v>
      </c>
      <c r="D301" s="12" t="s">
        <v>349</v>
      </c>
    </row>
    <row r="302" spans="1:4" x14ac:dyDescent="0.25">
      <c r="A302" s="12">
        <v>389663</v>
      </c>
      <c r="B302" s="11">
        <v>2690</v>
      </c>
      <c r="C302" s="17" t="s">
        <v>87</v>
      </c>
      <c r="D302" s="12" t="s">
        <v>350</v>
      </c>
    </row>
    <row r="303" spans="1:4" x14ac:dyDescent="0.25">
      <c r="A303" s="12">
        <v>389558</v>
      </c>
      <c r="B303" s="11">
        <v>2690</v>
      </c>
      <c r="C303" s="17" t="s">
        <v>87</v>
      </c>
      <c r="D303" s="12" t="s">
        <v>351</v>
      </c>
    </row>
    <row r="304" spans="1:4" x14ac:dyDescent="0.25">
      <c r="A304" s="12">
        <v>303028</v>
      </c>
      <c r="B304" s="11">
        <v>2690</v>
      </c>
      <c r="C304" s="17" t="s">
        <v>87</v>
      </c>
      <c r="D304" s="12" t="s">
        <v>352</v>
      </c>
    </row>
    <row r="305" spans="1:4" x14ac:dyDescent="0.25">
      <c r="A305" s="12">
        <v>388961</v>
      </c>
      <c r="B305" s="11">
        <v>2690</v>
      </c>
      <c r="C305" s="17" t="s">
        <v>87</v>
      </c>
      <c r="D305" s="12" t="s">
        <v>353</v>
      </c>
    </row>
    <row r="306" spans="1:4" x14ac:dyDescent="0.25">
      <c r="A306" s="12">
        <v>383220</v>
      </c>
      <c r="B306" s="11">
        <v>2690</v>
      </c>
      <c r="C306" s="17" t="s">
        <v>87</v>
      </c>
      <c r="D306" s="12" t="s">
        <v>354</v>
      </c>
    </row>
    <row r="307" spans="1:4" x14ac:dyDescent="0.25">
      <c r="A307" s="12">
        <v>387318</v>
      </c>
      <c r="B307" s="11">
        <v>2690</v>
      </c>
      <c r="C307" s="17" t="s">
        <v>87</v>
      </c>
      <c r="D307" s="12" t="s">
        <v>355</v>
      </c>
    </row>
    <row r="308" spans="1:4" x14ac:dyDescent="0.25">
      <c r="A308" s="12">
        <v>386370</v>
      </c>
      <c r="B308" s="11">
        <v>2690</v>
      </c>
      <c r="C308" s="17" t="s">
        <v>87</v>
      </c>
      <c r="D308" s="12" t="s">
        <v>356</v>
      </c>
    </row>
    <row r="309" spans="1:4" x14ac:dyDescent="0.25">
      <c r="A309" s="12">
        <v>387265</v>
      </c>
      <c r="B309" s="11">
        <v>2690</v>
      </c>
      <c r="C309" s="17" t="s">
        <v>87</v>
      </c>
      <c r="D309" s="12" t="s">
        <v>357</v>
      </c>
    </row>
    <row r="310" spans="1:4" x14ac:dyDescent="0.25">
      <c r="A310" s="12">
        <v>354054</v>
      </c>
      <c r="B310" s="11">
        <v>2690</v>
      </c>
      <c r="C310" s="17" t="s">
        <v>87</v>
      </c>
      <c r="D310" s="12" t="s">
        <v>358</v>
      </c>
    </row>
    <row r="311" spans="1:4" x14ac:dyDescent="0.25">
      <c r="A311" s="12">
        <v>393012</v>
      </c>
      <c r="B311" s="11">
        <v>2690</v>
      </c>
      <c r="C311" s="17" t="s">
        <v>87</v>
      </c>
      <c r="D311" s="12" t="s">
        <v>359</v>
      </c>
    </row>
    <row r="312" spans="1:4" x14ac:dyDescent="0.25">
      <c r="A312" s="12">
        <v>387676</v>
      </c>
      <c r="B312" s="11">
        <v>2690</v>
      </c>
      <c r="C312" s="17" t="s">
        <v>87</v>
      </c>
      <c r="D312" s="12" t="s">
        <v>360</v>
      </c>
    </row>
    <row r="313" spans="1:4" x14ac:dyDescent="0.25">
      <c r="A313" s="12">
        <v>389712</v>
      </c>
      <c r="B313" s="11">
        <v>2690</v>
      </c>
      <c r="C313" s="17" t="s">
        <v>87</v>
      </c>
      <c r="D313" s="12" t="s">
        <v>361</v>
      </c>
    </row>
    <row r="314" spans="1:4" x14ac:dyDescent="0.25">
      <c r="A314" s="12">
        <v>351737</v>
      </c>
      <c r="B314" s="11">
        <v>2690</v>
      </c>
      <c r="C314" s="17" t="s">
        <v>87</v>
      </c>
      <c r="D314" s="12" t="s">
        <v>362</v>
      </c>
    </row>
    <row r="315" spans="1:4" x14ac:dyDescent="0.25">
      <c r="A315" s="12">
        <v>390947</v>
      </c>
      <c r="B315" s="11">
        <v>2690</v>
      </c>
      <c r="C315" s="17" t="s">
        <v>87</v>
      </c>
      <c r="D315" s="12" t="s">
        <v>363</v>
      </c>
    </row>
    <row r="316" spans="1:4" x14ac:dyDescent="0.25">
      <c r="A316" s="12">
        <v>384008</v>
      </c>
      <c r="B316" s="11">
        <v>2690</v>
      </c>
      <c r="C316" s="17" t="s">
        <v>87</v>
      </c>
      <c r="D316" s="12" t="s">
        <v>364</v>
      </c>
    </row>
    <row r="317" spans="1:4" x14ac:dyDescent="0.25">
      <c r="A317" s="12">
        <v>393319</v>
      </c>
      <c r="B317" s="11">
        <v>2690</v>
      </c>
      <c r="C317" s="17" t="s">
        <v>87</v>
      </c>
      <c r="D317" s="12" t="s">
        <v>365</v>
      </c>
    </row>
    <row r="318" spans="1:4" x14ac:dyDescent="0.25">
      <c r="A318" s="12">
        <v>392114</v>
      </c>
      <c r="B318" s="11">
        <v>2690</v>
      </c>
      <c r="C318" s="17" t="s">
        <v>87</v>
      </c>
      <c r="D318" s="12" t="s">
        <v>366</v>
      </c>
    </row>
    <row r="319" spans="1:4" x14ac:dyDescent="0.25">
      <c r="A319" s="12">
        <v>388543</v>
      </c>
      <c r="B319" s="11">
        <v>2690</v>
      </c>
      <c r="C319" s="17" t="s">
        <v>87</v>
      </c>
      <c r="D319" s="12" t="s">
        <v>367</v>
      </c>
    </row>
    <row r="320" spans="1:4" x14ac:dyDescent="0.25">
      <c r="A320" s="12">
        <v>393451</v>
      </c>
      <c r="B320" s="11">
        <v>2690</v>
      </c>
      <c r="C320" s="17" t="s">
        <v>87</v>
      </c>
      <c r="D320" s="10" t="s">
        <v>368</v>
      </c>
    </row>
    <row r="321" spans="1:4" x14ac:dyDescent="0.25">
      <c r="A321" s="12">
        <v>393452</v>
      </c>
      <c r="B321" s="11">
        <v>2690</v>
      </c>
      <c r="C321" s="17" t="s">
        <v>87</v>
      </c>
      <c r="D321" s="12" t="s">
        <v>369</v>
      </c>
    </row>
    <row r="322" spans="1:4" x14ac:dyDescent="0.25">
      <c r="A322" s="12">
        <v>393319</v>
      </c>
      <c r="B322" s="11">
        <v>2690</v>
      </c>
      <c r="C322" s="17" t="s">
        <v>87</v>
      </c>
      <c r="D322" s="12" t="s">
        <v>365</v>
      </c>
    </row>
    <row r="323" spans="1:4" x14ac:dyDescent="0.25">
      <c r="A323" s="12">
        <v>384650</v>
      </c>
      <c r="B323" s="11">
        <v>2690</v>
      </c>
      <c r="C323" s="17" t="s">
        <v>87</v>
      </c>
      <c r="D323" s="12" t="s">
        <v>370</v>
      </c>
    </row>
    <row r="324" spans="1:4" x14ac:dyDescent="0.25">
      <c r="A324" s="10">
        <v>382263</v>
      </c>
      <c r="B324" s="11">
        <v>2690</v>
      </c>
      <c r="C324" s="17" t="s">
        <v>87</v>
      </c>
      <c r="D324" s="10" t="s">
        <v>371</v>
      </c>
    </row>
    <row r="325" spans="1:4" x14ac:dyDescent="0.25">
      <c r="A325" s="10">
        <v>393015</v>
      </c>
      <c r="B325" s="11">
        <v>2690</v>
      </c>
      <c r="C325" s="17" t="s">
        <v>87</v>
      </c>
      <c r="D325" s="10" t="s">
        <v>372</v>
      </c>
    </row>
    <row r="326" spans="1:4" x14ac:dyDescent="0.25">
      <c r="A326" s="12">
        <v>389147</v>
      </c>
      <c r="B326" s="11">
        <v>2690</v>
      </c>
      <c r="C326" s="17" t="s">
        <v>87</v>
      </c>
      <c r="D326" s="12" t="s">
        <v>373</v>
      </c>
    </row>
    <row r="327" spans="1:4" x14ac:dyDescent="0.25">
      <c r="A327" s="12">
        <v>354210</v>
      </c>
      <c r="B327" s="11">
        <v>2690</v>
      </c>
      <c r="C327" s="17" t="s">
        <v>87</v>
      </c>
      <c r="D327" s="12" t="s">
        <v>374</v>
      </c>
    </row>
    <row r="328" spans="1:4" x14ac:dyDescent="0.25">
      <c r="A328" s="12">
        <v>382188</v>
      </c>
      <c r="B328" s="11">
        <v>2690</v>
      </c>
      <c r="C328" s="17" t="s">
        <v>87</v>
      </c>
      <c r="D328" s="10" t="s">
        <v>375</v>
      </c>
    </row>
    <row r="329" spans="1:4" x14ac:dyDescent="0.25">
      <c r="A329" s="10">
        <v>388954</v>
      </c>
      <c r="B329" s="11">
        <v>2690</v>
      </c>
      <c r="C329" s="17" t="s">
        <v>87</v>
      </c>
      <c r="D329" s="10" t="s">
        <v>376</v>
      </c>
    </row>
    <row r="330" spans="1:4" x14ac:dyDescent="0.25">
      <c r="A330" s="10">
        <v>386013</v>
      </c>
      <c r="B330" s="11">
        <v>2690</v>
      </c>
      <c r="C330" s="17" t="s">
        <v>87</v>
      </c>
      <c r="D330" s="10" t="s">
        <v>377</v>
      </c>
    </row>
    <row r="331" spans="1:4" x14ac:dyDescent="0.25">
      <c r="A331" s="10">
        <v>382216</v>
      </c>
      <c r="B331" s="11">
        <v>2690</v>
      </c>
      <c r="C331" s="17" t="s">
        <v>87</v>
      </c>
      <c r="D331" s="10" t="s">
        <v>378</v>
      </c>
    </row>
    <row r="332" spans="1:4" x14ac:dyDescent="0.25">
      <c r="A332" s="10">
        <v>388861</v>
      </c>
      <c r="B332" s="11">
        <v>2690</v>
      </c>
      <c r="C332" s="17" t="s">
        <v>87</v>
      </c>
      <c r="D332" s="10" t="s">
        <v>379</v>
      </c>
    </row>
    <row r="333" spans="1:4" x14ac:dyDescent="0.25">
      <c r="A333" s="10">
        <v>385857</v>
      </c>
      <c r="B333" s="11">
        <v>2690</v>
      </c>
      <c r="C333" s="17" t="s">
        <v>87</v>
      </c>
      <c r="D333" s="10" t="s">
        <v>380</v>
      </c>
    </row>
    <row r="334" spans="1:4" x14ac:dyDescent="0.25">
      <c r="A334" s="10">
        <v>393091</v>
      </c>
      <c r="B334" s="11">
        <v>2690</v>
      </c>
      <c r="C334" s="17" t="s">
        <v>87</v>
      </c>
      <c r="D334" s="12" t="s">
        <v>381</v>
      </c>
    </row>
    <row r="335" spans="1:4" x14ac:dyDescent="0.25">
      <c r="A335" s="10">
        <v>350343</v>
      </c>
      <c r="B335" s="11">
        <v>2690</v>
      </c>
      <c r="C335" s="17" t="s">
        <v>87</v>
      </c>
      <c r="D335" s="12" t="s">
        <v>382</v>
      </c>
    </row>
    <row r="336" spans="1:4" x14ac:dyDescent="0.25">
      <c r="A336" s="10">
        <v>387686</v>
      </c>
      <c r="B336" s="11">
        <v>2690</v>
      </c>
      <c r="C336" s="17" t="s">
        <v>87</v>
      </c>
      <c r="D336" s="12" t="s">
        <v>383</v>
      </c>
    </row>
    <row r="337" spans="1:4" x14ac:dyDescent="0.25">
      <c r="A337" s="10">
        <v>387681</v>
      </c>
      <c r="B337" s="11">
        <v>2690</v>
      </c>
      <c r="C337" s="17" t="s">
        <v>87</v>
      </c>
      <c r="D337" s="12" t="s">
        <v>384</v>
      </c>
    </row>
    <row r="338" spans="1:4" x14ac:dyDescent="0.25">
      <c r="A338" s="10">
        <v>393515</v>
      </c>
      <c r="B338" s="11">
        <v>2690</v>
      </c>
      <c r="C338" s="17" t="s">
        <v>87</v>
      </c>
      <c r="D338" s="12" t="s">
        <v>385</v>
      </c>
    </row>
    <row r="339" spans="1:4" x14ac:dyDescent="0.25">
      <c r="A339" s="10">
        <v>383533</v>
      </c>
      <c r="B339" s="11">
        <v>2690</v>
      </c>
      <c r="C339" s="17" t="s">
        <v>87</v>
      </c>
      <c r="D339" s="12" t="s">
        <v>386</v>
      </c>
    </row>
    <row r="340" spans="1:4" x14ac:dyDescent="0.25">
      <c r="A340" s="12">
        <v>393310</v>
      </c>
      <c r="B340" s="11">
        <v>2690</v>
      </c>
      <c r="C340" s="17" t="s">
        <v>87</v>
      </c>
      <c r="D340" s="12" t="s">
        <v>387</v>
      </c>
    </row>
    <row r="341" spans="1:4" x14ac:dyDescent="0.25">
      <c r="A341" s="10">
        <v>380892</v>
      </c>
      <c r="B341" s="11">
        <v>2690</v>
      </c>
      <c r="C341" s="17" t="s">
        <v>87</v>
      </c>
      <c r="D341" s="10" t="s">
        <v>388</v>
      </c>
    </row>
    <row r="342" spans="1:4" x14ac:dyDescent="0.25">
      <c r="A342" s="12">
        <v>392984</v>
      </c>
      <c r="B342" s="11">
        <v>2690</v>
      </c>
      <c r="C342" s="17" t="s">
        <v>87</v>
      </c>
      <c r="D342" s="12" t="s">
        <v>389</v>
      </c>
    </row>
    <row r="343" spans="1:4" x14ac:dyDescent="0.25">
      <c r="A343" s="12">
        <v>393046</v>
      </c>
      <c r="B343" s="11">
        <v>2690</v>
      </c>
      <c r="C343" s="17" t="s">
        <v>87</v>
      </c>
      <c r="D343" s="12" t="s">
        <v>390</v>
      </c>
    </row>
    <row r="344" spans="1:4" x14ac:dyDescent="0.25">
      <c r="A344" s="12">
        <v>380668</v>
      </c>
      <c r="B344" s="11">
        <v>2690</v>
      </c>
      <c r="C344" s="17" t="s">
        <v>87</v>
      </c>
      <c r="D344" s="12" t="s">
        <v>391</v>
      </c>
    </row>
    <row r="345" spans="1:4" x14ac:dyDescent="0.25">
      <c r="A345" s="12">
        <v>392977</v>
      </c>
      <c r="B345" s="11">
        <v>2690</v>
      </c>
      <c r="C345" s="17" t="s">
        <v>87</v>
      </c>
      <c r="D345" s="12" t="s">
        <v>392</v>
      </c>
    </row>
    <row r="346" spans="1:4" x14ac:dyDescent="0.25">
      <c r="A346" s="12">
        <v>385859</v>
      </c>
      <c r="B346" s="11">
        <v>2690</v>
      </c>
      <c r="C346" s="17" t="s">
        <v>87</v>
      </c>
      <c r="D346" s="12" t="s">
        <v>393</v>
      </c>
    </row>
    <row r="347" spans="1:4" x14ac:dyDescent="0.25">
      <c r="A347" s="12">
        <v>354054</v>
      </c>
      <c r="B347" s="11">
        <v>2690</v>
      </c>
      <c r="C347" s="17" t="s">
        <v>87</v>
      </c>
      <c r="D347" s="12" t="s">
        <v>394</v>
      </c>
    </row>
    <row r="348" spans="1:4" x14ac:dyDescent="0.25">
      <c r="A348" s="12">
        <v>380488</v>
      </c>
      <c r="B348" s="11">
        <v>2690</v>
      </c>
      <c r="C348" s="17" t="s">
        <v>156</v>
      </c>
      <c r="D348" s="12" t="s">
        <v>395</v>
      </c>
    </row>
    <row r="349" spans="1:4" x14ac:dyDescent="0.25">
      <c r="A349" s="12">
        <v>354210</v>
      </c>
      <c r="B349" s="11">
        <v>2690</v>
      </c>
      <c r="C349" s="17" t="s">
        <v>156</v>
      </c>
      <c r="D349" s="12" t="s">
        <v>374</v>
      </c>
    </row>
    <row r="350" spans="1:4" x14ac:dyDescent="0.25">
      <c r="A350" s="12">
        <v>382216</v>
      </c>
      <c r="B350" s="11">
        <v>2690</v>
      </c>
      <c r="C350" s="17" t="s">
        <v>156</v>
      </c>
      <c r="D350" s="12" t="s">
        <v>396</v>
      </c>
    </row>
    <row r="351" spans="1:4" x14ac:dyDescent="0.25">
      <c r="A351" s="12">
        <v>388000</v>
      </c>
      <c r="B351" s="11">
        <v>2690</v>
      </c>
      <c r="C351" s="17" t="s">
        <v>156</v>
      </c>
      <c r="D351" s="12" t="s">
        <v>397</v>
      </c>
    </row>
    <row r="352" spans="1:4" x14ac:dyDescent="0.25">
      <c r="A352" s="12">
        <v>384008</v>
      </c>
      <c r="B352" s="11">
        <v>2690</v>
      </c>
      <c r="C352" s="17" t="s">
        <v>156</v>
      </c>
      <c r="D352" s="12" t="s">
        <v>364</v>
      </c>
    </row>
    <row r="353" spans="1:4" x14ac:dyDescent="0.25">
      <c r="A353" s="12">
        <v>383600</v>
      </c>
      <c r="B353" s="11">
        <v>2690</v>
      </c>
      <c r="C353" s="17" t="s">
        <v>156</v>
      </c>
      <c r="D353" s="12" t="s">
        <v>398</v>
      </c>
    </row>
    <row r="354" spans="1:4" x14ac:dyDescent="0.25">
      <c r="A354" s="12">
        <v>380488</v>
      </c>
      <c r="B354" s="11">
        <v>2690</v>
      </c>
      <c r="C354" s="17" t="s">
        <v>156</v>
      </c>
      <c r="D354" s="12" t="s">
        <v>399</v>
      </c>
    </row>
    <row r="355" spans="1:4" x14ac:dyDescent="0.25">
      <c r="A355" s="12">
        <v>350681</v>
      </c>
      <c r="B355" s="11">
        <v>2690</v>
      </c>
      <c r="C355" s="17" t="s">
        <v>156</v>
      </c>
      <c r="D355" s="12" t="s">
        <v>400</v>
      </c>
    </row>
    <row r="356" spans="1:4" x14ac:dyDescent="0.25">
      <c r="A356" s="12">
        <v>392976</v>
      </c>
      <c r="B356" s="11">
        <v>2690</v>
      </c>
      <c r="C356" s="17" t="s">
        <v>156</v>
      </c>
      <c r="D356" s="12" t="s">
        <v>401</v>
      </c>
    </row>
    <row r="357" spans="1:4" x14ac:dyDescent="0.25">
      <c r="A357" s="10">
        <v>253646</v>
      </c>
      <c r="B357" s="11">
        <v>2776</v>
      </c>
      <c r="C357" s="17" t="s">
        <v>11</v>
      </c>
      <c r="D357" s="10" t="s">
        <v>402</v>
      </c>
    </row>
    <row r="358" spans="1:4" x14ac:dyDescent="0.25">
      <c r="A358" s="12">
        <v>252010</v>
      </c>
      <c r="B358" s="11">
        <v>2776</v>
      </c>
      <c r="C358" s="17" t="s">
        <v>11</v>
      </c>
      <c r="D358" s="12" t="s">
        <v>403</v>
      </c>
    </row>
    <row r="359" spans="1:4" x14ac:dyDescent="0.25">
      <c r="A359" s="10">
        <v>252461</v>
      </c>
      <c r="B359" s="11">
        <v>2776</v>
      </c>
      <c r="C359" s="17" t="s">
        <v>11</v>
      </c>
      <c r="D359" s="10" t="s">
        <v>404</v>
      </c>
    </row>
    <row r="360" spans="1:4" x14ac:dyDescent="0.25">
      <c r="A360" s="12">
        <v>252848</v>
      </c>
      <c r="B360" s="11">
        <v>2776</v>
      </c>
      <c r="C360" s="17" t="s">
        <v>11</v>
      </c>
      <c r="D360" s="12" t="s">
        <v>405</v>
      </c>
    </row>
    <row r="361" spans="1:4" x14ac:dyDescent="0.25">
      <c r="A361" s="12">
        <v>267755</v>
      </c>
      <c r="B361" s="11">
        <v>2776</v>
      </c>
      <c r="C361" s="17" t="s">
        <v>87</v>
      </c>
      <c r="D361" s="12" t="s">
        <v>406</v>
      </c>
    </row>
    <row r="362" spans="1:4" x14ac:dyDescent="0.25">
      <c r="A362" s="12">
        <v>274712</v>
      </c>
      <c r="B362" s="11">
        <v>2776</v>
      </c>
      <c r="C362" s="17" t="s">
        <v>87</v>
      </c>
      <c r="D362" s="12" t="s">
        <v>407</v>
      </c>
    </row>
    <row r="363" spans="1:4" x14ac:dyDescent="0.25">
      <c r="A363" s="12">
        <v>273090</v>
      </c>
      <c r="B363" s="11">
        <v>2776</v>
      </c>
      <c r="C363" s="17" t="s">
        <v>87</v>
      </c>
      <c r="D363" s="12" t="s">
        <v>408</v>
      </c>
    </row>
    <row r="364" spans="1:4" x14ac:dyDescent="0.25">
      <c r="A364" s="12">
        <v>273757</v>
      </c>
      <c r="B364" s="11">
        <v>2776</v>
      </c>
      <c r="C364" s="17" t="s">
        <v>87</v>
      </c>
      <c r="D364" s="12" t="s">
        <v>409</v>
      </c>
    </row>
    <row r="365" spans="1:4" x14ac:dyDescent="0.25">
      <c r="A365" s="12">
        <v>274214</v>
      </c>
      <c r="B365" s="11">
        <v>2776</v>
      </c>
      <c r="C365" s="17" t="s">
        <v>87</v>
      </c>
      <c r="D365" s="12" t="s">
        <v>277</v>
      </c>
    </row>
    <row r="366" spans="1:4" x14ac:dyDescent="0.25">
      <c r="A366" s="12">
        <v>251948</v>
      </c>
      <c r="B366" s="11">
        <v>2776</v>
      </c>
      <c r="C366" s="17" t="s">
        <v>87</v>
      </c>
      <c r="D366" s="12" t="s">
        <v>410</v>
      </c>
    </row>
    <row r="367" spans="1:4" x14ac:dyDescent="0.25">
      <c r="A367" s="12">
        <v>274702</v>
      </c>
      <c r="B367" s="11">
        <v>2776</v>
      </c>
      <c r="C367" s="17" t="s">
        <v>87</v>
      </c>
      <c r="D367" s="12" t="s">
        <v>411</v>
      </c>
    </row>
    <row r="368" spans="1:4" x14ac:dyDescent="0.25">
      <c r="A368" s="12">
        <v>273090</v>
      </c>
      <c r="B368" s="11">
        <v>2776</v>
      </c>
      <c r="C368" s="17" t="s">
        <v>87</v>
      </c>
      <c r="D368" s="12" t="s">
        <v>412</v>
      </c>
    </row>
    <row r="369" spans="1:4" x14ac:dyDescent="0.25">
      <c r="A369" s="12">
        <v>251949</v>
      </c>
      <c r="B369" s="11">
        <v>2776</v>
      </c>
      <c r="C369" s="17" t="s">
        <v>87</v>
      </c>
      <c r="D369" s="12" t="s">
        <v>413</v>
      </c>
    </row>
    <row r="370" spans="1:4" x14ac:dyDescent="0.25">
      <c r="A370" s="12">
        <v>271653</v>
      </c>
      <c r="B370" s="11">
        <v>2776</v>
      </c>
      <c r="C370" s="17" t="s">
        <v>156</v>
      </c>
      <c r="D370" s="12" t="s">
        <v>414</v>
      </c>
    </row>
    <row r="371" spans="1:4" x14ac:dyDescent="0.25">
      <c r="A371" s="12">
        <v>275600</v>
      </c>
      <c r="B371" s="11">
        <v>2776</v>
      </c>
      <c r="C371" s="17" t="s">
        <v>156</v>
      </c>
      <c r="D371" s="12" t="s">
        <v>415</v>
      </c>
    </row>
    <row r="372" spans="1:4" x14ac:dyDescent="0.25">
      <c r="A372" s="18">
        <v>274214</v>
      </c>
      <c r="B372" s="11">
        <v>2776</v>
      </c>
      <c r="C372" s="17" t="s">
        <v>156</v>
      </c>
      <c r="D372" s="18" t="s">
        <v>277</v>
      </c>
    </row>
    <row r="373" spans="1:4" x14ac:dyDescent="0.25">
      <c r="A373" s="12">
        <v>274110</v>
      </c>
      <c r="B373" s="11">
        <v>2776</v>
      </c>
      <c r="C373" s="17" t="s">
        <v>156</v>
      </c>
      <c r="D373" s="12" t="s">
        <v>416</v>
      </c>
    </row>
    <row r="374" spans="1:4" x14ac:dyDescent="0.25">
      <c r="A374" s="12">
        <v>271643</v>
      </c>
      <c r="B374" s="11">
        <v>2776</v>
      </c>
      <c r="C374" s="17" t="s">
        <v>156</v>
      </c>
      <c r="D374" s="12" t="s">
        <v>417</v>
      </c>
    </row>
    <row r="375" spans="1:4" x14ac:dyDescent="0.25">
      <c r="A375" s="12">
        <v>268690</v>
      </c>
      <c r="B375" s="11">
        <v>2776</v>
      </c>
      <c r="C375" s="17" t="s">
        <v>156</v>
      </c>
      <c r="D375" s="12" t="s">
        <v>418</v>
      </c>
    </row>
    <row r="376" spans="1:4" x14ac:dyDescent="0.25">
      <c r="A376" s="12">
        <v>273151</v>
      </c>
      <c r="B376" s="11">
        <v>2776</v>
      </c>
      <c r="C376" s="17" t="s">
        <v>156</v>
      </c>
      <c r="D376" s="12" t="s">
        <v>419</v>
      </c>
    </row>
    <row r="377" spans="1:4" x14ac:dyDescent="0.25">
      <c r="A377" s="12">
        <v>274666</v>
      </c>
      <c r="B377" s="11">
        <v>2776</v>
      </c>
      <c r="C377" s="17" t="s">
        <v>156</v>
      </c>
      <c r="D377" s="12" t="s">
        <v>420</v>
      </c>
    </row>
    <row r="378" spans="1:4" x14ac:dyDescent="0.25">
      <c r="A378" s="12">
        <v>268989</v>
      </c>
      <c r="B378" s="11">
        <v>2776</v>
      </c>
      <c r="C378" s="17" t="s">
        <v>156</v>
      </c>
      <c r="D378" s="12" t="s">
        <v>421</v>
      </c>
    </row>
    <row r="379" spans="1:4" x14ac:dyDescent="0.25">
      <c r="A379" s="12">
        <v>271520</v>
      </c>
      <c r="B379" s="11">
        <v>2776</v>
      </c>
      <c r="C379" s="17" t="s">
        <v>156</v>
      </c>
      <c r="D379" s="12" t="s">
        <v>422</v>
      </c>
    </row>
    <row r="380" spans="1:4" x14ac:dyDescent="0.25">
      <c r="A380" s="12">
        <v>271755</v>
      </c>
      <c r="B380" s="11">
        <v>2776</v>
      </c>
      <c r="C380" s="17" t="s">
        <v>156</v>
      </c>
      <c r="D380" s="12" t="s">
        <v>423</v>
      </c>
    </row>
    <row r="381" spans="1:4" x14ac:dyDescent="0.25">
      <c r="A381" s="12">
        <v>158218</v>
      </c>
      <c r="B381" s="11">
        <v>2898</v>
      </c>
      <c r="C381" s="17" t="s">
        <v>11</v>
      </c>
      <c r="D381" s="12" t="s">
        <v>424</v>
      </c>
    </row>
    <row r="382" spans="1:4" x14ac:dyDescent="0.25">
      <c r="A382" s="10">
        <v>154181</v>
      </c>
      <c r="B382" s="11">
        <v>2898</v>
      </c>
      <c r="C382" s="17" t="s">
        <v>11</v>
      </c>
      <c r="D382" s="10" t="s">
        <v>425</v>
      </c>
    </row>
    <row r="383" spans="1:4" x14ac:dyDescent="0.25">
      <c r="A383" s="12">
        <v>158189</v>
      </c>
      <c r="B383" s="11">
        <v>2898</v>
      </c>
      <c r="C383" s="17" t="s">
        <v>11</v>
      </c>
      <c r="D383" s="12" t="s">
        <v>426</v>
      </c>
    </row>
    <row r="384" spans="1:4" x14ac:dyDescent="0.25">
      <c r="A384" s="10">
        <v>155833</v>
      </c>
      <c r="B384" s="11">
        <v>2898</v>
      </c>
      <c r="C384" s="17" t="s">
        <v>11</v>
      </c>
      <c r="D384" s="10" t="s">
        <v>427</v>
      </c>
    </row>
    <row r="385" spans="1:4" x14ac:dyDescent="0.25">
      <c r="A385" s="12">
        <v>150827</v>
      </c>
      <c r="B385" s="11">
        <v>2898</v>
      </c>
      <c r="C385" s="17" t="s">
        <v>11</v>
      </c>
      <c r="D385" s="12" t="s">
        <v>428</v>
      </c>
    </row>
    <row r="386" spans="1:4" x14ac:dyDescent="0.25">
      <c r="A386" s="10">
        <v>158378</v>
      </c>
      <c r="B386" s="11">
        <v>2898</v>
      </c>
      <c r="C386" s="17" t="s">
        <v>11</v>
      </c>
      <c r="D386" s="23" t="s">
        <v>429</v>
      </c>
    </row>
    <row r="387" spans="1:4" x14ac:dyDescent="0.25">
      <c r="A387" s="12">
        <v>158180</v>
      </c>
      <c r="B387" s="11">
        <v>2898</v>
      </c>
      <c r="C387" s="17" t="s">
        <v>11</v>
      </c>
      <c r="D387" s="12" t="s">
        <v>430</v>
      </c>
    </row>
    <row r="388" spans="1:4" x14ac:dyDescent="0.25">
      <c r="A388" s="10">
        <v>158094</v>
      </c>
      <c r="B388" s="11">
        <v>2898</v>
      </c>
      <c r="C388" s="17" t="s">
        <v>11</v>
      </c>
      <c r="D388" s="10" t="s">
        <v>431</v>
      </c>
    </row>
    <row r="389" spans="1:4" x14ac:dyDescent="0.25">
      <c r="A389" s="10">
        <v>158423</v>
      </c>
      <c r="B389" s="11">
        <v>2898</v>
      </c>
      <c r="C389" s="17" t="s">
        <v>11</v>
      </c>
      <c r="D389" s="10" t="s">
        <v>432</v>
      </c>
    </row>
    <row r="390" spans="1:4" x14ac:dyDescent="0.25">
      <c r="A390" s="10">
        <v>154140</v>
      </c>
      <c r="B390" s="11">
        <v>2898</v>
      </c>
      <c r="C390" s="17" t="s">
        <v>11</v>
      </c>
      <c r="D390" s="12" t="s">
        <v>433</v>
      </c>
    </row>
    <row r="391" spans="1:4" x14ac:dyDescent="0.25">
      <c r="A391" s="12">
        <v>153900</v>
      </c>
      <c r="B391" s="11">
        <v>2898</v>
      </c>
      <c r="C391" s="17" t="s">
        <v>87</v>
      </c>
      <c r="D391" s="12" t="s">
        <v>434</v>
      </c>
    </row>
    <row r="392" spans="1:4" x14ac:dyDescent="0.25">
      <c r="A392" s="12">
        <v>182186</v>
      </c>
      <c r="B392" s="11">
        <v>2898</v>
      </c>
      <c r="C392" s="17" t="s">
        <v>87</v>
      </c>
      <c r="D392" s="12" t="s">
        <v>435</v>
      </c>
    </row>
    <row r="393" spans="1:4" x14ac:dyDescent="0.25">
      <c r="A393" s="12">
        <v>180180</v>
      </c>
      <c r="B393" s="11">
        <v>2898</v>
      </c>
      <c r="C393" s="17" t="s">
        <v>87</v>
      </c>
      <c r="D393" s="12" t="s">
        <v>436</v>
      </c>
    </row>
    <row r="394" spans="1:4" x14ac:dyDescent="0.25">
      <c r="A394" s="12">
        <v>182132</v>
      </c>
      <c r="B394" s="11">
        <v>2898</v>
      </c>
      <c r="C394" s="17" t="s">
        <v>87</v>
      </c>
      <c r="D394" s="12" t="s">
        <v>437</v>
      </c>
    </row>
    <row r="395" spans="1:4" x14ac:dyDescent="0.25">
      <c r="A395" s="12">
        <v>182239</v>
      </c>
      <c r="B395" s="11">
        <v>2898</v>
      </c>
      <c r="C395" s="17" t="s">
        <v>87</v>
      </c>
      <c r="D395" s="12" t="s">
        <v>438</v>
      </c>
    </row>
    <row r="396" spans="1:4" x14ac:dyDescent="0.25">
      <c r="A396" s="12">
        <v>181229</v>
      </c>
      <c r="B396" s="11">
        <v>2898</v>
      </c>
      <c r="C396" s="17" t="s">
        <v>87</v>
      </c>
      <c r="D396" s="12" t="s">
        <v>439</v>
      </c>
    </row>
    <row r="397" spans="1:4" x14ac:dyDescent="0.25">
      <c r="A397" s="12">
        <v>181951</v>
      </c>
      <c r="B397" s="11">
        <v>2898</v>
      </c>
      <c r="C397" s="17" t="s">
        <v>87</v>
      </c>
      <c r="D397" s="12" t="s">
        <v>440</v>
      </c>
    </row>
    <row r="398" spans="1:4" x14ac:dyDescent="0.25">
      <c r="A398" s="12">
        <v>178657</v>
      </c>
      <c r="B398" s="11">
        <v>2898</v>
      </c>
      <c r="C398" s="17" t="s">
        <v>87</v>
      </c>
      <c r="D398" s="12" t="s">
        <v>441</v>
      </c>
    </row>
    <row r="399" spans="1:4" x14ac:dyDescent="0.25">
      <c r="A399" s="12">
        <v>173888</v>
      </c>
      <c r="B399" s="11">
        <v>2898</v>
      </c>
      <c r="C399" s="17" t="s">
        <v>87</v>
      </c>
      <c r="D399" s="12" t="s">
        <v>442</v>
      </c>
    </row>
    <row r="400" spans="1:4" x14ac:dyDescent="0.25">
      <c r="A400" s="12">
        <v>182355</v>
      </c>
      <c r="B400" s="11">
        <v>2898</v>
      </c>
      <c r="C400" s="17" t="s">
        <v>87</v>
      </c>
      <c r="D400" s="12" t="s">
        <v>443</v>
      </c>
    </row>
    <row r="401" spans="1:4" x14ac:dyDescent="0.25">
      <c r="A401" s="12">
        <v>173470</v>
      </c>
      <c r="B401" s="11">
        <v>2898</v>
      </c>
      <c r="C401" s="17" t="s">
        <v>87</v>
      </c>
      <c r="D401" s="12" t="s">
        <v>444</v>
      </c>
    </row>
    <row r="402" spans="1:4" x14ac:dyDescent="0.25">
      <c r="A402" s="12">
        <v>172850</v>
      </c>
      <c r="B402" s="11">
        <v>2898</v>
      </c>
      <c r="C402" s="17" t="s">
        <v>87</v>
      </c>
      <c r="D402" s="12" t="s">
        <v>445</v>
      </c>
    </row>
    <row r="403" spans="1:4" x14ac:dyDescent="0.25">
      <c r="A403" s="12">
        <v>182367</v>
      </c>
      <c r="B403" s="11">
        <v>2898</v>
      </c>
      <c r="C403" s="17" t="s">
        <v>87</v>
      </c>
      <c r="D403" s="12" t="s">
        <v>446</v>
      </c>
    </row>
    <row r="404" spans="1:4" x14ac:dyDescent="0.25">
      <c r="A404" s="12">
        <v>182366</v>
      </c>
      <c r="B404" s="11">
        <v>2898</v>
      </c>
      <c r="C404" s="17" t="s">
        <v>87</v>
      </c>
      <c r="D404" s="12" t="s">
        <v>447</v>
      </c>
    </row>
    <row r="405" spans="1:4" x14ac:dyDescent="0.25">
      <c r="A405" s="12">
        <v>182394</v>
      </c>
      <c r="B405" s="11">
        <v>2898</v>
      </c>
      <c r="C405" s="17" t="s">
        <v>87</v>
      </c>
      <c r="D405" s="12" t="s">
        <v>448</v>
      </c>
    </row>
    <row r="406" spans="1:4" x14ac:dyDescent="0.25">
      <c r="A406" s="12">
        <v>158358</v>
      </c>
      <c r="B406" s="11">
        <v>2898</v>
      </c>
      <c r="C406" s="17" t="s">
        <v>87</v>
      </c>
      <c r="D406" s="12" t="s">
        <v>449</v>
      </c>
    </row>
    <row r="407" spans="1:4" x14ac:dyDescent="0.25">
      <c r="A407" s="12">
        <v>179135</v>
      </c>
      <c r="B407" s="11">
        <v>2898</v>
      </c>
      <c r="C407" s="17" t="s">
        <v>156</v>
      </c>
      <c r="D407" s="12" t="s">
        <v>450</v>
      </c>
    </row>
    <row r="408" spans="1:4" x14ac:dyDescent="0.25">
      <c r="A408" s="12">
        <v>173888</v>
      </c>
      <c r="B408" s="11">
        <v>2898</v>
      </c>
      <c r="C408" s="17" t="s">
        <v>156</v>
      </c>
      <c r="D408" s="12" t="s">
        <v>451</v>
      </c>
    </row>
    <row r="409" spans="1:4" x14ac:dyDescent="0.25">
      <c r="A409" s="12">
        <v>170321</v>
      </c>
      <c r="B409" s="11">
        <v>2898</v>
      </c>
      <c r="C409" s="17" t="s">
        <v>156</v>
      </c>
      <c r="D409" s="12" t="s">
        <v>452</v>
      </c>
    </row>
    <row r="410" spans="1:4" x14ac:dyDescent="0.25">
      <c r="A410" s="12">
        <v>172850</v>
      </c>
      <c r="B410" s="11">
        <v>2898</v>
      </c>
      <c r="C410" s="17" t="s">
        <v>156</v>
      </c>
      <c r="D410" s="12" t="s">
        <v>445</v>
      </c>
    </row>
    <row r="411" spans="1:4" x14ac:dyDescent="0.25">
      <c r="A411" s="12">
        <v>172999</v>
      </c>
      <c r="B411" s="11">
        <v>2898</v>
      </c>
      <c r="C411" s="17" t="s">
        <v>156</v>
      </c>
      <c r="D411" s="12" t="s">
        <v>453</v>
      </c>
    </row>
    <row r="412" spans="1:4" x14ac:dyDescent="0.25">
      <c r="A412" s="12">
        <v>172200</v>
      </c>
      <c r="B412" s="11">
        <v>2898</v>
      </c>
      <c r="C412" s="17" t="s">
        <v>156</v>
      </c>
      <c r="D412" s="12" t="s">
        <v>454</v>
      </c>
    </row>
    <row r="413" spans="1:4" x14ac:dyDescent="0.25">
      <c r="A413" s="12">
        <v>171875</v>
      </c>
      <c r="B413" s="11">
        <v>2898</v>
      </c>
      <c r="C413" s="17" t="s">
        <v>156</v>
      </c>
      <c r="D413" s="12" t="s">
        <v>455</v>
      </c>
    </row>
    <row r="414" spans="1:4" x14ac:dyDescent="0.25">
      <c r="A414" s="12">
        <v>301373</v>
      </c>
      <c r="B414" s="11">
        <v>2900</v>
      </c>
      <c r="C414" s="17" t="s">
        <v>11</v>
      </c>
      <c r="D414" s="12" t="s">
        <v>456</v>
      </c>
    </row>
    <row r="415" spans="1:4" x14ac:dyDescent="0.25">
      <c r="A415" s="12">
        <v>301259</v>
      </c>
      <c r="B415" s="11">
        <v>2900</v>
      </c>
      <c r="C415" s="17" t="s">
        <v>11</v>
      </c>
      <c r="D415" s="12" t="s">
        <v>457</v>
      </c>
    </row>
    <row r="416" spans="1:4" x14ac:dyDescent="0.25">
      <c r="A416" s="12">
        <v>301408</v>
      </c>
      <c r="B416" s="11">
        <v>2900</v>
      </c>
      <c r="C416" s="17" t="s">
        <v>11</v>
      </c>
      <c r="D416" s="24" t="s">
        <v>458</v>
      </c>
    </row>
    <row r="417" spans="1:4" x14ac:dyDescent="0.25">
      <c r="A417" s="12">
        <v>301568</v>
      </c>
      <c r="B417" s="11">
        <v>2900</v>
      </c>
      <c r="C417" s="17" t="s">
        <v>11</v>
      </c>
      <c r="D417" s="12" t="s">
        <v>459</v>
      </c>
    </row>
    <row r="418" spans="1:4" x14ac:dyDescent="0.25">
      <c r="A418" s="12">
        <v>301018</v>
      </c>
      <c r="B418" s="11">
        <v>2900</v>
      </c>
      <c r="C418" s="17" t="s">
        <v>11</v>
      </c>
      <c r="D418" s="12" t="s">
        <v>460</v>
      </c>
    </row>
    <row r="419" spans="1:4" x14ac:dyDescent="0.25">
      <c r="A419" s="12">
        <v>302373</v>
      </c>
      <c r="B419" s="11">
        <v>2900</v>
      </c>
      <c r="C419" s="17" t="s">
        <v>11</v>
      </c>
      <c r="D419" s="12" t="s">
        <v>461</v>
      </c>
    </row>
    <row r="420" spans="1:4" x14ac:dyDescent="0.25">
      <c r="A420" s="12">
        <v>302536</v>
      </c>
      <c r="B420" s="11">
        <v>2900</v>
      </c>
      <c r="C420" s="17" t="s">
        <v>11</v>
      </c>
      <c r="D420" s="12" t="s">
        <v>462</v>
      </c>
    </row>
    <row r="421" spans="1:4" x14ac:dyDescent="0.25">
      <c r="A421" s="10">
        <v>302524</v>
      </c>
      <c r="B421" s="11">
        <v>2900</v>
      </c>
      <c r="C421" s="17" t="s">
        <v>11</v>
      </c>
      <c r="D421" s="10" t="s">
        <v>463</v>
      </c>
    </row>
    <row r="422" spans="1:4" x14ac:dyDescent="0.25">
      <c r="A422" s="10">
        <v>302100</v>
      </c>
      <c r="B422" s="11">
        <v>2900</v>
      </c>
      <c r="C422" s="17" t="s">
        <v>11</v>
      </c>
      <c r="D422" s="13" t="s">
        <v>464</v>
      </c>
    </row>
    <row r="423" spans="1:4" x14ac:dyDescent="0.25">
      <c r="A423" s="12">
        <v>319775</v>
      </c>
      <c r="B423" s="11">
        <v>2900</v>
      </c>
      <c r="C423" s="17" t="s">
        <v>87</v>
      </c>
      <c r="D423" s="12" t="s">
        <v>465</v>
      </c>
    </row>
    <row r="424" spans="1:4" x14ac:dyDescent="0.25">
      <c r="A424" s="12">
        <v>303043</v>
      </c>
      <c r="B424" s="11">
        <v>2900</v>
      </c>
      <c r="C424" s="17" t="s">
        <v>87</v>
      </c>
      <c r="D424" s="12" t="s">
        <v>466</v>
      </c>
    </row>
    <row r="425" spans="1:4" x14ac:dyDescent="0.25">
      <c r="A425" s="12">
        <v>305083</v>
      </c>
      <c r="B425" s="11">
        <v>2900</v>
      </c>
      <c r="C425" s="17" t="s">
        <v>87</v>
      </c>
      <c r="D425" s="12" t="s">
        <v>467</v>
      </c>
    </row>
    <row r="426" spans="1:4" x14ac:dyDescent="0.25">
      <c r="A426" s="12">
        <v>317003</v>
      </c>
      <c r="B426" s="11">
        <v>2900</v>
      </c>
      <c r="C426" s="17" t="s">
        <v>87</v>
      </c>
      <c r="D426" s="12" t="s">
        <v>468</v>
      </c>
    </row>
    <row r="427" spans="1:4" x14ac:dyDescent="0.25">
      <c r="A427" s="12">
        <v>317939</v>
      </c>
      <c r="B427" s="11">
        <v>2900</v>
      </c>
      <c r="C427" s="17" t="s">
        <v>87</v>
      </c>
      <c r="D427" s="12" t="s">
        <v>469</v>
      </c>
    </row>
    <row r="428" spans="1:4" x14ac:dyDescent="0.25">
      <c r="A428" s="12">
        <v>323885</v>
      </c>
      <c r="B428" s="11">
        <v>2900</v>
      </c>
      <c r="C428" s="17" t="s">
        <v>87</v>
      </c>
      <c r="D428" s="12" t="s">
        <v>470</v>
      </c>
    </row>
    <row r="429" spans="1:4" x14ac:dyDescent="0.25">
      <c r="A429" s="12">
        <v>305128</v>
      </c>
      <c r="B429" s="11">
        <v>2900</v>
      </c>
      <c r="C429" s="17" t="s">
        <v>87</v>
      </c>
      <c r="D429" s="12" t="s">
        <v>471</v>
      </c>
    </row>
    <row r="430" spans="1:4" x14ac:dyDescent="0.25">
      <c r="A430" s="18">
        <v>323736</v>
      </c>
      <c r="B430" s="11">
        <v>2900</v>
      </c>
      <c r="C430" s="17" t="s">
        <v>87</v>
      </c>
      <c r="D430" s="18" t="s">
        <v>472</v>
      </c>
    </row>
    <row r="431" spans="1:4" x14ac:dyDescent="0.25">
      <c r="A431" s="18">
        <v>322910</v>
      </c>
      <c r="B431" s="11">
        <v>2900</v>
      </c>
      <c r="C431" s="17" t="s">
        <v>87</v>
      </c>
      <c r="D431" s="18" t="s">
        <v>473</v>
      </c>
    </row>
    <row r="432" spans="1:4" x14ac:dyDescent="0.25">
      <c r="A432" s="12">
        <v>323122</v>
      </c>
      <c r="B432" s="11">
        <v>2900</v>
      </c>
      <c r="C432" s="17" t="s">
        <v>87</v>
      </c>
      <c r="D432" s="12" t="s">
        <v>474</v>
      </c>
    </row>
    <row r="433" spans="1:4" x14ac:dyDescent="0.25">
      <c r="A433" s="12">
        <v>305052</v>
      </c>
      <c r="B433" s="11">
        <v>2900</v>
      </c>
      <c r="C433" s="17" t="s">
        <v>87</v>
      </c>
      <c r="D433" s="12" t="s">
        <v>475</v>
      </c>
    </row>
    <row r="434" spans="1:4" x14ac:dyDescent="0.25">
      <c r="A434" s="12">
        <v>323042</v>
      </c>
      <c r="B434" s="11">
        <v>2900</v>
      </c>
      <c r="C434" s="17" t="s">
        <v>87</v>
      </c>
      <c r="D434" s="12" t="s">
        <v>476</v>
      </c>
    </row>
    <row r="435" spans="1:4" x14ac:dyDescent="0.25">
      <c r="A435" s="11">
        <v>323731</v>
      </c>
      <c r="B435" s="11">
        <v>2900</v>
      </c>
      <c r="C435" s="17" t="s">
        <v>87</v>
      </c>
      <c r="D435" s="18" t="s">
        <v>477</v>
      </c>
    </row>
    <row r="436" spans="1:4" x14ac:dyDescent="0.25">
      <c r="A436" s="12">
        <v>312294</v>
      </c>
      <c r="B436" s="11">
        <v>2900</v>
      </c>
      <c r="C436" s="17" t="s">
        <v>87</v>
      </c>
      <c r="D436" s="12" t="s">
        <v>478</v>
      </c>
    </row>
    <row r="437" spans="1:4" x14ac:dyDescent="0.25">
      <c r="A437" s="12">
        <v>305171</v>
      </c>
      <c r="B437" s="11">
        <v>2900</v>
      </c>
      <c r="C437" s="17" t="s">
        <v>87</v>
      </c>
      <c r="D437" s="12" t="s">
        <v>479</v>
      </c>
    </row>
    <row r="438" spans="1:4" x14ac:dyDescent="0.25">
      <c r="A438" s="12">
        <v>305037</v>
      </c>
      <c r="B438" s="11">
        <v>2900</v>
      </c>
      <c r="C438" s="17" t="s">
        <v>87</v>
      </c>
      <c r="D438" s="12" t="s">
        <v>480</v>
      </c>
    </row>
    <row r="439" spans="1:4" x14ac:dyDescent="0.25">
      <c r="A439" s="12">
        <v>322199</v>
      </c>
      <c r="B439" s="11">
        <v>2900</v>
      </c>
      <c r="C439" s="17" t="s">
        <v>87</v>
      </c>
      <c r="D439" s="12" t="s">
        <v>481</v>
      </c>
    </row>
    <row r="440" spans="1:4" x14ac:dyDescent="0.25">
      <c r="A440" s="12">
        <v>303028</v>
      </c>
      <c r="B440" s="11">
        <v>2900</v>
      </c>
      <c r="C440" s="17" t="s">
        <v>87</v>
      </c>
      <c r="D440" s="12" t="s">
        <v>482</v>
      </c>
    </row>
    <row r="441" spans="1:4" x14ac:dyDescent="0.25">
      <c r="A441" s="12">
        <v>305030</v>
      </c>
      <c r="B441" s="11">
        <v>2900</v>
      </c>
      <c r="C441" s="17" t="s">
        <v>87</v>
      </c>
      <c r="D441" s="12" t="s">
        <v>483</v>
      </c>
    </row>
    <row r="442" spans="1:4" x14ac:dyDescent="0.25">
      <c r="A442" s="12">
        <v>305109</v>
      </c>
      <c r="B442" s="11">
        <v>2900</v>
      </c>
      <c r="C442" s="17" t="s">
        <v>87</v>
      </c>
      <c r="D442" s="12" t="s">
        <v>484</v>
      </c>
    </row>
    <row r="443" spans="1:4" x14ac:dyDescent="0.25">
      <c r="A443" s="12">
        <v>305058</v>
      </c>
      <c r="B443" s="11">
        <v>2900</v>
      </c>
      <c r="C443" s="17" t="s">
        <v>87</v>
      </c>
      <c r="D443" s="12" t="s">
        <v>485</v>
      </c>
    </row>
    <row r="444" spans="1:4" x14ac:dyDescent="0.25">
      <c r="A444" s="12">
        <v>305188</v>
      </c>
      <c r="B444" s="11">
        <v>2900</v>
      </c>
      <c r="C444" s="17" t="s">
        <v>87</v>
      </c>
      <c r="D444" s="12" t="s">
        <v>486</v>
      </c>
    </row>
    <row r="445" spans="1:4" x14ac:dyDescent="0.25">
      <c r="A445" s="12">
        <v>303057</v>
      </c>
      <c r="B445" s="11">
        <v>2900</v>
      </c>
      <c r="C445" s="17" t="s">
        <v>87</v>
      </c>
      <c r="D445" s="12" t="s">
        <v>487</v>
      </c>
    </row>
    <row r="446" spans="1:4" x14ac:dyDescent="0.25">
      <c r="A446" s="12">
        <v>323667</v>
      </c>
      <c r="B446" s="11">
        <v>2900</v>
      </c>
      <c r="C446" s="17" t="s">
        <v>87</v>
      </c>
      <c r="D446" s="12" t="s">
        <v>488</v>
      </c>
    </row>
    <row r="447" spans="1:4" x14ac:dyDescent="0.25">
      <c r="A447" s="12">
        <v>324001</v>
      </c>
      <c r="B447" s="11">
        <v>2900</v>
      </c>
      <c r="C447" s="17" t="s">
        <v>87</v>
      </c>
      <c r="D447" s="12" t="s">
        <v>489</v>
      </c>
    </row>
    <row r="448" spans="1:4" x14ac:dyDescent="0.25">
      <c r="A448" s="12">
        <v>322440</v>
      </c>
      <c r="B448" s="11">
        <v>2900</v>
      </c>
      <c r="C448" s="17" t="s">
        <v>87</v>
      </c>
      <c r="D448" s="12" t="s">
        <v>490</v>
      </c>
    </row>
    <row r="449" spans="1:4" x14ac:dyDescent="0.25">
      <c r="A449" s="12">
        <v>301491</v>
      </c>
      <c r="B449" s="11">
        <v>2900</v>
      </c>
      <c r="C449" s="17" t="s">
        <v>87</v>
      </c>
      <c r="D449" s="12" t="s">
        <v>491</v>
      </c>
    </row>
    <row r="450" spans="1:4" x14ac:dyDescent="0.25">
      <c r="A450" s="12">
        <v>322778</v>
      </c>
      <c r="B450" s="11">
        <v>2900</v>
      </c>
      <c r="C450" s="17" t="s">
        <v>87</v>
      </c>
      <c r="D450" s="12" t="s">
        <v>492</v>
      </c>
    </row>
    <row r="451" spans="1:4" x14ac:dyDescent="0.25">
      <c r="A451" s="12">
        <v>305067</v>
      </c>
      <c r="B451" s="11">
        <v>2900</v>
      </c>
      <c r="C451" s="17" t="s">
        <v>87</v>
      </c>
      <c r="D451" s="12" t="s">
        <v>493</v>
      </c>
    </row>
    <row r="452" spans="1:4" x14ac:dyDescent="0.25">
      <c r="A452" s="12">
        <v>305177</v>
      </c>
      <c r="B452" s="11">
        <v>2900</v>
      </c>
      <c r="C452" s="17" t="s">
        <v>87</v>
      </c>
      <c r="D452" s="12" t="s">
        <v>494</v>
      </c>
    </row>
    <row r="453" spans="1:4" x14ac:dyDescent="0.25">
      <c r="A453" s="12">
        <v>302852</v>
      </c>
      <c r="B453" s="11">
        <v>2900</v>
      </c>
      <c r="C453" s="17" t="s">
        <v>87</v>
      </c>
      <c r="D453" s="12" t="s">
        <v>495</v>
      </c>
    </row>
    <row r="454" spans="1:4" x14ac:dyDescent="0.25">
      <c r="A454" s="12">
        <v>323568</v>
      </c>
      <c r="B454" s="11">
        <v>2900</v>
      </c>
      <c r="C454" s="17" t="s">
        <v>87</v>
      </c>
      <c r="D454" s="12" t="s">
        <v>496</v>
      </c>
    </row>
    <row r="455" spans="1:4" x14ac:dyDescent="0.25">
      <c r="A455" s="12">
        <v>305176</v>
      </c>
      <c r="B455" s="11">
        <v>2900</v>
      </c>
      <c r="C455" s="17" t="s">
        <v>87</v>
      </c>
      <c r="D455" s="12" t="s">
        <v>497</v>
      </c>
    </row>
    <row r="456" spans="1:4" x14ac:dyDescent="0.25">
      <c r="A456" s="12">
        <v>323941</v>
      </c>
      <c r="B456" s="11">
        <v>2900</v>
      </c>
      <c r="C456" s="17" t="s">
        <v>87</v>
      </c>
      <c r="D456" s="12" t="s">
        <v>498</v>
      </c>
    </row>
    <row r="457" spans="1:4" x14ac:dyDescent="0.25">
      <c r="A457" s="12">
        <v>324020</v>
      </c>
      <c r="B457" s="11">
        <v>2900</v>
      </c>
      <c r="C457" s="17" t="s">
        <v>87</v>
      </c>
      <c r="D457" s="10" t="s">
        <v>499</v>
      </c>
    </row>
    <row r="458" spans="1:4" x14ac:dyDescent="0.25">
      <c r="A458" s="12">
        <v>318604</v>
      </c>
      <c r="B458" s="11">
        <v>2900</v>
      </c>
      <c r="C458" s="17" t="s">
        <v>87</v>
      </c>
      <c r="D458" s="10" t="s">
        <v>500</v>
      </c>
    </row>
    <row r="459" spans="1:4" x14ac:dyDescent="0.25">
      <c r="A459" s="12">
        <v>302481</v>
      </c>
      <c r="B459" s="11">
        <v>2900</v>
      </c>
      <c r="C459" s="17" t="s">
        <v>87</v>
      </c>
      <c r="D459" s="12" t="s">
        <v>501</v>
      </c>
    </row>
    <row r="460" spans="1:4" x14ac:dyDescent="0.25">
      <c r="A460" s="12">
        <v>305010</v>
      </c>
      <c r="B460" s="11">
        <v>2900</v>
      </c>
      <c r="C460" s="17" t="s">
        <v>87</v>
      </c>
      <c r="D460" s="12" t="s">
        <v>502</v>
      </c>
    </row>
    <row r="461" spans="1:4" x14ac:dyDescent="0.25">
      <c r="A461" s="12">
        <v>324008</v>
      </c>
      <c r="B461" s="11">
        <v>2900</v>
      </c>
      <c r="C461" s="17" t="s">
        <v>87</v>
      </c>
      <c r="D461" s="12" t="s">
        <v>503</v>
      </c>
    </row>
    <row r="462" spans="1:4" x14ac:dyDescent="0.25">
      <c r="A462" s="12">
        <v>324036</v>
      </c>
      <c r="B462" s="11">
        <v>2900</v>
      </c>
      <c r="C462" s="17" t="s">
        <v>87</v>
      </c>
      <c r="D462" s="12" t="s">
        <v>504</v>
      </c>
    </row>
    <row r="463" spans="1:4" x14ac:dyDescent="0.25">
      <c r="A463" s="12">
        <v>305159</v>
      </c>
      <c r="B463" s="11">
        <v>2900</v>
      </c>
      <c r="C463" s="17" t="s">
        <v>87</v>
      </c>
      <c r="D463" s="12" t="s">
        <v>505</v>
      </c>
    </row>
    <row r="464" spans="1:4" x14ac:dyDescent="0.25">
      <c r="A464" s="12">
        <v>305108</v>
      </c>
      <c r="B464" s="11">
        <v>2900</v>
      </c>
      <c r="C464" s="17" t="s">
        <v>87</v>
      </c>
      <c r="D464" s="12" t="s">
        <v>506</v>
      </c>
    </row>
    <row r="465" spans="1:4" x14ac:dyDescent="0.25">
      <c r="A465" s="12">
        <v>323745</v>
      </c>
      <c r="B465" s="11">
        <v>2900</v>
      </c>
      <c r="C465" s="17" t="s">
        <v>87</v>
      </c>
      <c r="D465" s="12" t="s">
        <v>507</v>
      </c>
    </row>
    <row r="466" spans="1:4" x14ac:dyDescent="0.25">
      <c r="A466" s="12">
        <v>305044</v>
      </c>
      <c r="B466" s="11">
        <v>2900</v>
      </c>
      <c r="C466" s="17" t="s">
        <v>87</v>
      </c>
      <c r="D466" s="12" t="s">
        <v>508</v>
      </c>
    </row>
    <row r="467" spans="1:4" x14ac:dyDescent="0.25">
      <c r="A467" s="12">
        <v>324047</v>
      </c>
      <c r="B467" s="11">
        <v>2900</v>
      </c>
      <c r="C467" s="17" t="s">
        <v>87</v>
      </c>
      <c r="D467" s="12" t="s">
        <v>509</v>
      </c>
    </row>
    <row r="468" spans="1:4" x14ac:dyDescent="0.25">
      <c r="A468" s="12">
        <v>324057</v>
      </c>
      <c r="B468" s="11">
        <v>2900</v>
      </c>
      <c r="C468" s="17" t="s">
        <v>87</v>
      </c>
      <c r="D468" s="12" t="s">
        <v>510</v>
      </c>
    </row>
    <row r="469" spans="1:4" x14ac:dyDescent="0.25">
      <c r="A469" s="12">
        <v>323656</v>
      </c>
      <c r="B469" s="11">
        <v>2900</v>
      </c>
      <c r="C469" s="17" t="s">
        <v>87</v>
      </c>
      <c r="D469" s="12" t="s">
        <v>511</v>
      </c>
    </row>
    <row r="470" spans="1:4" x14ac:dyDescent="0.25">
      <c r="A470" s="12">
        <v>324060</v>
      </c>
      <c r="B470" s="11">
        <v>2900</v>
      </c>
      <c r="C470" s="17" t="s">
        <v>87</v>
      </c>
      <c r="D470" s="12" t="s">
        <v>512</v>
      </c>
    </row>
    <row r="471" spans="1:4" x14ac:dyDescent="0.25">
      <c r="A471" s="12">
        <v>324059</v>
      </c>
      <c r="B471" s="11">
        <v>2900</v>
      </c>
      <c r="C471" s="17" t="s">
        <v>87</v>
      </c>
      <c r="D471" s="10" t="s">
        <v>513</v>
      </c>
    </row>
    <row r="472" spans="1:4" x14ac:dyDescent="0.25">
      <c r="A472" s="12">
        <v>305180</v>
      </c>
      <c r="B472" s="11">
        <v>2900</v>
      </c>
      <c r="C472" s="17" t="s">
        <v>87</v>
      </c>
      <c r="D472" s="10" t="s">
        <v>514</v>
      </c>
    </row>
    <row r="473" spans="1:4" x14ac:dyDescent="0.25">
      <c r="A473" s="12">
        <v>301993</v>
      </c>
      <c r="B473" s="11">
        <v>2900</v>
      </c>
      <c r="C473" s="17" t="s">
        <v>87</v>
      </c>
      <c r="D473" s="12" t="s">
        <v>515</v>
      </c>
    </row>
    <row r="474" spans="1:4" x14ac:dyDescent="0.25">
      <c r="A474" s="12">
        <v>324049</v>
      </c>
      <c r="B474" s="11">
        <v>2900</v>
      </c>
      <c r="C474" s="17" t="s">
        <v>87</v>
      </c>
      <c r="D474" s="12" t="s">
        <v>516</v>
      </c>
    </row>
    <row r="475" spans="1:4" x14ac:dyDescent="0.25">
      <c r="A475" s="12">
        <v>305169</v>
      </c>
      <c r="B475" s="11">
        <v>2900</v>
      </c>
      <c r="C475" s="17" t="s">
        <v>87</v>
      </c>
      <c r="D475" s="12" t="s">
        <v>517</v>
      </c>
    </row>
    <row r="476" spans="1:4" x14ac:dyDescent="0.25">
      <c r="A476" s="12">
        <v>324043</v>
      </c>
      <c r="B476" s="11">
        <v>2900</v>
      </c>
      <c r="C476" s="17" t="s">
        <v>87</v>
      </c>
      <c r="D476" s="12" t="s">
        <v>518</v>
      </c>
    </row>
    <row r="477" spans="1:4" x14ac:dyDescent="0.25">
      <c r="A477" s="12">
        <v>323052</v>
      </c>
      <c r="B477" s="11">
        <v>2900</v>
      </c>
      <c r="C477" s="17" t="s">
        <v>87</v>
      </c>
      <c r="D477" s="12" t="s">
        <v>519</v>
      </c>
    </row>
    <row r="478" spans="1:4" x14ac:dyDescent="0.25">
      <c r="A478" s="12">
        <v>305196</v>
      </c>
      <c r="B478" s="11">
        <v>2900</v>
      </c>
      <c r="C478" s="17" t="s">
        <v>87</v>
      </c>
      <c r="D478" s="12" t="s">
        <v>520</v>
      </c>
    </row>
    <row r="479" spans="1:4" x14ac:dyDescent="0.25">
      <c r="A479" s="12">
        <v>323870</v>
      </c>
      <c r="B479" s="11">
        <v>2900</v>
      </c>
      <c r="C479" s="17" t="s">
        <v>87</v>
      </c>
      <c r="D479" s="12" t="s">
        <v>521</v>
      </c>
    </row>
    <row r="480" spans="1:4" x14ac:dyDescent="0.25">
      <c r="A480" s="12">
        <v>319726</v>
      </c>
      <c r="B480" s="11">
        <v>2900</v>
      </c>
      <c r="C480" s="17" t="s">
        <v>87</v>
      </c>
      <c r="D480" s="12" t="s">
        <v>522</v>
      </c>
    </row>
    <row r="481" spans="1:4" x14ac:dyDescent="0.25">
      <c r="A481" s="12">
        <v>324064</v>
      </c>
      <c r="B481" s="11">
        <v>2900</v>
      </c>
      <c r="C481" s="17" t="s">
        <v>87</v>
      </c>
      <c r="D481" s="12" t="s">
        <v>523</v>
      </c>
    </row>
    <row r="482" spans="1:4" x14ac:dyDescent="0.25">
      <c r="A482" s="12">
        <v>324065</v>
      </c>
      <c r="B482" s="11">
        <v>2900</v>
      </c>
      <c r="C482" s="17" t="s">
        <v>87</v>
      </c>
      <c r="D482" s="21" t="s">
        <v>524</v>
      </c>
    </row>
    <row r="483" spans="1:4" x14ac:dyDescent="0.25">
      <c r="A483" s="12">
        <v>302997</v>
      </c>
      <c r="B483" s="11">
        <v>2900</v>
      </c>
      <c r="C483" s="17" t="s">
        <v>87</v>
      </c>
      <c r="D483" s="10" t="s">
        <v>525</v>
      </c>
    </row>
    <row r="484" spans="1:4" x14ac:dyDescent="0.25">
      <c r="A484" s="12">
        <v>322571</v>
      </c>
      <c r="B484" s="11">
        <v>2900</v>
      </c>
      <c r="C484" s="17" t="s">
        <v>87</v>
      </c>
      <c r="D484" s="10" t="s">
        <v>526</v>
      </c>
    </row>
    <row r="485" spans="1:4" x14ac:dyDescent="0.25">
      <c r="A485" s="12">
        <v>320112</v>
      </c>
      <c r="B485" s="11">
        <v>2900</v>
      </c>
      <c r="C485" s="17" t="s">
        <v>87</v>
      </c>
      <c r="D485" s="10" t="s">
        <v>527</v>
      </c>
    </row>
    <row r="486" spans="1:4" x14ac:dyDescent="0.25">
      <c r="A486" s="10">
        <v>302755</v>
      </c>
      <c r="B486" s="11">
        <v>2900</v>
      </c>
      <c r="C486" s="17" t="s">
        <v>87</v>
      </c>
      <c r="D486" s="10" t="s">
        <v>528</v>
      </c>
    </row>
    <row r="487" spans="1:4" x14ac:dyDescent="0.25">
      <c r="A487" s="12">
        <v>324083</v>
      </c>
      <c r="B487" s="11">
        <v>2900</v>
      </c>
      <c r="C487" s="17" t="s">
        <v>87</v>
      </c>
      <c r="D487" s="10" t="s">
        <v>529</v>
      </c>
    </row>
    <row r="488" spans="1:4" x14ac:dyDescent="0.25">
      <c r="A488" s="12">
        <v>305150</v>
      </c>
      <c r="B488" s="11">
        <v>2900</v>
      </c>
      <c r="C488" s="17" t="s">
        <v>87</v>
      </c>
      <c r="D488" s="12" t="s">
        <v>530</v>
      </c>
    </row>
    <row r="489" spans="1:4" x14ac:dyDescent="0.25">
      <c r="A489" s="12">
        <v>324077</v>
      </c>
      <c r="B489" s="11">
        <v>2900</v>
      </c>
      <c r="C489" s="17" t="s">
        <v>87</v>
      </c>
      <c r="D489" s="12" t="s">
        <v>531</v>
      </c>
    </row>
    <row r="490" spans="1:4" x14ac:dyDescent="0.25">
      <c r="A490" s="12">
        <v>324063</v>
      </c>
      <c r="B490" s="11">
        <v>2900</v>
      </c>
      <c r="C490" s="17" t="s">
        <v>87</v>
      </c>
      <c r="D490" s="10" t="s">
        <v>532</v>
      </c>
    </row>
    <row r="491" spans="1:4" x14ac:dyDescent="0.25">
      <c r="A491" s="12">
        <v>323255</v>
      </c>
      <c r="B491" s="11">
        <v>2900</v>
      </c>
      <c r="C491" s="17" t="s">
        <v>87</v>
      </c>
      <c r="D491" s="12" t="s">
        <v>533</v>
      </c>
    </row>
    <row r="492" spans="1:4" x14ac:dyDescent="0.25">
      <c r="A492" s="12">
        <v>324079</v>
      </c>
      <c r="B492" s="11">
        <v>2900</v>
      </c>
      <c r="C492" s="17" t="s">
        <v>87</v>
      </c>
      <c r="D492" s="12" t="s">
        <v>534</v>
      </c>
    </row>
    <row r="493" spans="1:4" x14ac:dyDescent="0.25">
      <c r="A493" s="12">
        <v>324081</v>
      </c>
      <c r="B493" s="11">
        <v>2900</v>
      </c>
      <c r="C493" s="17" t="s">
        <v>87</v>
      </c>
      <c r="D493" s="12" t="s">
        <v>535</v>
      </c>
    </row>
    <row r="494" spans="1:4" x14ac:dyDescent="0.25">
      <c r="A494" s="12">
        <v>324074</v>
      </c>
      <c r="B494" s="11">
        <v>2900</v>
      </c>
      <c r="C494" s="17" t="s">
        <v>87</v>
      </c>
      <c r="D494" s="12" t="s">
        <v>536</v>
      </c>
    </row>
    <row r="495" spans="1:4" x14ac:dyDescent="0.25">
      <c r="A495" s="10">
        <v>324090</v>
      </c>
      <c r="B495" s="11">
        <v>2900</v>
      </c>
      <c r="C495" s="17" t="s">
        <v>87</v>
      </c>
      <c r="D495" s="15" t="s">
        <v>537</v>
      </c>
    </row>
    <row r="496" spans="1:4" x14ac:dyDescent="0.25">
      <c r="A496" s="12">
        <v>323571</v>
      </c>
      <c r="B496" s="11">
        <v>2900</v>
      </c>
      <c r="C496" s="17" t="s">
        <v>87</v>
      </c>
      <c r="D496" s="12" t="s">
        <v>538</v>
      </c>
    </row>
    <row r="497" spans="1:4" x14ac:dyDescent="0.25">
      <c r="A497" s="12">
        <v>319063</v>
      </c>
      <c r="B497" s="11">
        <v>2900</v>
      </c>
      <c r="C497" s="17" t="s">
        <v>87</v>
      </c>
      <c r="D497" s="12" t="s">
        <v>539</v>
      </c>
    </row>
    <row r="498" spans="1:4" x14ac:dyDescent="0.25">
      <c r="A498" s="12">
        <v>324085</v>
      </c>
      <c r="B498" s="11">
        <v>2900</v>
      </c>
      <c r="C498" s="17" t="s">
        <v>87</v>
      </c>
      <c r="D498" s="12" t="s">
        <v>540</v>
      </c>
    </row>
    <row r="499" spans="1:4" x14ac:dyDescent="0.25">
      <c r="A499" s="12">
        <v>319178</v>
      </c>
      <c r="B499" s="11">
        <v>2900</v>
      </c>
      <c r="C499" s="17" t="s">
        <v>87</v>
      </c>
      <c r="D499" s="12" t="s">
        <v>541</v>
      </c>
    </row>
    <row r="500" spans="1:4" x14ac:dyDescent="0.25">
      <c r="A500" s="12">
        <v>324088</v>
      </c>
      <c r="B500" s="11">
        <v>2900</v>
      </c>
      <c r="C500" s="17" t="s">
        <v>87</v>
      </c>
      <c r="D500" s="12" t="s">
        <v>542</v>
      </c>
    </row>
    <row r="501" spans="1:4" x14ac:dyDescent="0.25">
      <c r="A501" s="12">
        <v>324082</v>
      </c>
      <c r="B501" s="11">
        <v>2900</v>
      </c>
      <c r="C501" s="17" t="s">
        <v>87</v>
      </c>
      <c r="D501" s="12" t="s">
        <v>543</v>
      </c>
    </row>
    <row r="502" spans="1:4" x14ac:dyDescent="0.25">
      <c r="A502" s="12">
        <v>323560</v>
      </c>
      <c r="B502" s="11">
        <v>2900</v>
      </c>
      <c r="C502" s="17" t="s">
        <v>87</v>
      </c>
      <c r="D502" s="12" t="s">
        <v>544</v>
      </c>
    </row>
    <row r="503" spans="1:4" x14ac:dyDescent="0.25">
      <c r="A503" s="12">
        <v>324084</v>
      </c>
      <c r="B503" s="11">
        <v>2900</v>
      </c>
      <c r="C503" s="17" t="s">
        <v>87</v>
      </c>
      <c r="D503" s="12" t="s">
        <v>545</v>
      </c>
    </row>
    <row r="504" spans="1:4" x14ac:dyDescent="0.25">
      <c r="A504" s="12">
        <v>324001</v>
      </c>
      <c r="B504" s="11">
        <v>2900</v>
      </c>
      <c r="C504" s="17" t="s">
        <v>87</v>
      </c>
      <c r="D504" s="12" t="s">
        <v>489</v>
      </c>
    </row>
    <row r="505" spans="1:4" x14ac:dyDescent="0.25">
      <c r="A505" s="12">
        <v>305043</v>
      </c>
      <c r="B505" s="11">
        <v>2900</v>
      </c>
      <c r="C505" s="17" t="s">
        <v>87</v>
      </c>
      <c r="D505" s="12" t="s">
        <v>546</v>
      </c>
    </row>
    <row r="506" spans="1:4" x14ac:dyDescent="0.25">
      <c r="A506" s="12">
        <v>305027</v>
      </c>
      <c r="B506" s="11">
        <v>2900</v>
      </c>
      <c r="C506" s="17" t="s">
        <v>87</v>
      </c>
      <c r="D506" s="12" t="s">
        <v>547</v>
      </c>
    </row>
    <row r="507" spans="1:4" x14ac:dyDescent="0.25">
      <c r="A507" s="12">
        <v>323859</v>
      </c>
      <c r="B507" s="11">
        <v>2900</v>
      </c>
      <c r="C507" s="17" t="s">
        <v>87</v>
      </c>
      <c r="D507" s="12" t="s">
        <v>548</v>
      </c>
    </row>
    <row r="508" spans="1:4" x14ac:dyDescent="0.25">
      <c r="A508" s="12">
        <v>324075</v>
      </c>
      <c r="B508" s="11">
        <v>2900</v>
      </c>
      <c r="C508" s="17" t="s">
        <v>87</v>
      </c>
      <c r="D508" s="12" t="s">
        <v>549</v>
      </c>
    </row>
    <row r="509" spans="1:4" x14ac:dyDescent="0.25">
      <c r="A509" s="12">
        <v>324128</v>
      </c>
      <c r="B509" s="11">
        <v>2900</v>
      </c>
      <c r="C509" s="17" t="s">
        <v>87</v>
      </c>
      <c r="D509" s="12" t="s">
        <v>550</v>
      </c>
    </row>
    <row r="510" spans="1:4" x14ac:dyDescent="0.25">
      <c r="A510" s="12">
        <v>324097</v>
      </c>
      <c r="B510" s="11">
        <v>2900</v>
      </c>
      <c r="C510" s="17" t="s">
        <v>87</v>
      </c>
      <c r="D510" s="12" t="s">
        <v>551</v>
      </c>
    </row>
    <row r="511" spans="1:4" x14ac:dyDescent="0.25">
      <c r="A511" s="12">
        <v>321227</v>
      </c>
      <c r="B511" s="11">
        <v>2900</v>
      </c>
      <c r="C511" s="17" t="s">
        <v>87</v>
      </c>
      <c r="D511" s="12" t="s">
        <v>552</v>
      </c>
    </row>
    <row r="512" spans="1:4" x14ac:dyDescent="0.25">
      <c r="A512" s="12">
        <v>305151</v>
      </c>
      <c r="B512" s="11">
        <v>2900</v>
      </c>
      <c r="C512" s="17" t="s">
        <v>87</v>
      </c>
      <c r="D512" s="12" t="s">
        <v>553</v>
      </c>
    </row>
    <row r="513" spans="1:4" x14ac:dyDescent="0.25">
      <c r="A513" s="12">
        <v>324127</v>
      </c>
      <c r="B513" s="11">
        <v>2900</v>
      </c>
      <c r="C513" s="17" t="s">
        <v>87</v>
      </c>
      <c r="D513" s="12" t="s">
        <v>554</v>
      </c>
    </row>
    <row r="514" spans="1:4" x14ac:dyDescent="0.25">
      <c r="A514" s="12">
        <v>323141</v>
      </c>
      <c r="B514" s="11">
        <v>2900</v>
      </c>
      <c r="C514" s="17" t="s">
        <v>87</v>
      </c>
      <c r="D514" s="12" t="s">
        <v>555</v>
      </c>
    </row>
    <row r="515" spans="1:4" x14ac:dyDescent="0.25">
      <c r="A515" s="12">
        <v>319962</v>
      </c>
      <c r="B515" s="11">
        <v>2900</v>
      </c>
      <c r="C515" s="17" t="s">
        <v>87</v>
      </c>
      <c r="D515" s="12" t="s">
        <v>556</v>
      </c>
    </row>
    <row r="516" spans="1:4" x14ac:dyDescent="0.25">
      <c r="A516" s="12">
        <v>324145</v>
      </c>
      <c r="B516" s="11">
        <v>2900</v>
      </c>
      <c r="C516" s="17" t="s">
        <v>87</v>
      </c>
      <c r="D516" s="12" t="s">
        <v>557</v>
      </c>
    </row>
    <row r="517" spans="1:4" x14ac:dyDescent="0.25">
      <c r="A517" s="12">
        <v>324037</v>
      </c>
      <c r="B517" s="11">
        <v>2900</v>
      </c>
      <c r="C517" s="17" t="s">
        <v>87</v>
      </c>
      <c r="D517" s="12" t="s">
        <v>558</v>
      </c>
    </row>
    <row r="518" spans="1:4" x14ac:dyDescent="0.25">
      <c r="A518" s="12">
        <v>322277</v>
      </c>
      <c r="B518" s="11">
        <v>2900</v>
      </c>
      <c r="C518" s="17" t="s">
        <v>87</v>
      </c>
      <c r="D518" s="12" t="s">
        <v>559</v>
      </c>
    </row>
    <row r="519" spans="1:4" x14ac:dyDescent="0.25">
      <c r="A519" s="12">
        <v>324066</v>
      </c>
      <c r="B519" s="11">
        <v>2900</v>
      </c>
      <c r="C519" s="17" t="s">
        <v>87</v>
      </c>
      <c r="D519" s="12" t="s">
        <v>560</v>
      </c>
    </row>
    <row r="520" spans="1:4" x14ac:dyDescent="0.25">
      <c r="A520" s="12">
        <v>312294</v>
      </c>
      <c r="B520" s="11">
        <v>2900</v>
      </c>
      <c r="C520" s="17" t="s">
        <v>87</v>
      </c>
      <c r="D520" s="12" t="s">
        <v>561</v>
      </c>
    </row>
    <row r="521" spans="1:4" x14ac:dyDescent="0.25">
      <c r="A521" s="12">
        <v>301993</v>
      </c>
      <c r="B521" s="11">
        <v>2900</v>
      </c>
      <c r="C521" s="17" t="s">
        <v>87</v>
      </c>
      <c r="D521" s="12" t="s">
        <v>562</v>
      </c>
    </row>
    <row r="522" spans="1:4" x14ac:dyDescent="0.25">
      <c r="A522" s="12">
        <v>324186</v>
      </c>
      <c r="B522" s="11">
        <v>2900</v>
      </c>
      <c r="C522" s="17" t="s">
        <v>87</v>
      </c>
      <c r="D522" s="12" t="s">
        <v>563</v>
      </c>
    </row>
    <row r="523" spans="1:4" x14ac:dyDescent="0.25">
      <c r="A523" s="12">
        <v>324160</v>
      </c>
      <c r="B523" s="11">
        <v>2900</v>
      </c>
      <c r="C523" s="17" t="s">
        <v>87</v>
      </c>
      <c r="D523" s="12" t="s">
        <v>564</v>
      </c>
    </row>
    <row r="524" spans="1:4" x14ac:dyDescent="0.25">
      <c r="A524" s="12">
        <v>324181</v>
      </c>
      <c r="B524" s="11">
        <v>2900</v>
      </c>
      <c r="C524" s="17" t="s">
        <v>87</v>
      </c>
      <c r="D524" s="12" t="s">
        <v>565</v>
      </c>
    </row>
    <row r="525" spans="1:4" x14ac:dyDescent="0.25">
      <c r="A525" s="12">
        <v>323205</v>
      </c>
      <c r="B525" s="11">
        <v>2900</v>
      </c>
      <c r="C525" s="17" t="s">
        <v>87</v>
      </c>
      <c r="D525" s="13" t="s">
        <v>566</v>
      </c>
    </row>
    <row r="526" spans="1:4" x14ac:dyDescent="0.25">
      <c r="A526" s="12">
        <v>324123</v>
      </c>
      <c r="B526" s="11">
        <v>2900</v>
      </c>
      <c r="C526" s="17" t="s">
        <v>87</v>
      </c>
      <c r="D526" s="12" t="s">
        <v>567</v>
      </c>
    </row>
    <row r="527" spans="1:4" x14ac:dyDescent="0.25">
      <c r="A527" s="12">
        <v>324278</v>
      </c>
      <c r="B527" s="11">
        <v>2900</v>
      </c>
      <c r="C527" s="17" t="s">
        <v>87</v>
      </c>
      <c r="D527" s="12" t="s">
        <v>568</v>
      </c>
    </row>
    <row r="528" spans="1:4" x14ac:dyDescent="0.25">
      <c r="A528" s="12">
        <v>303047</v>
      </c>
      <c r="B528" s="11">
        <v>2900</v>
      </c>
      <c r="C528" s="17" t="s">
        <v>87</v>
      </c>
      <c r="D528" s="12" t="s">
        <v>569</v>
      </c>
    </row>
    <row r="529" spans="1:4" x14ac:dyDescent="0.25">
      <c r="A529" s="12">
        <v>323944</v>
      </c>
      <c r="B529" s="11">
        <v>2900</v>
      </c>
      <c r="C529" s="17" t="s">
        <v>87</v>
      </c>
      <c r="D529" s="10" t="s">
        <v>570</v>
      </c>
    </row>
    <row r="530" spans="1:4" x14ac:dyDescent="0.25">
      <c r="A530" s="12">
        <v>324187</v>
      </c>
      <c r="B530" s="11">
        <v>2900</v>
      </c>
      <c r="C530" s="17" t="s">
        <v>87</v>
      </c>
      <c r="D530" s="10" t="s">
        <v>571</v>
      </c>
    </row>
    <row r="531" spans="1:4" x14ac:dyDescent="0.25">
      <c r="A531" s="12">
        <v>324039</v>
      </c>
      <c r="B531" s="11">
        <v>2900</v>
      </c>
      <c r="C531" s="17" t="s">
        <v>87</v>
      </c>
      <c r="D531" s="10" t="s">
        <v>572</v>
      </c>
    </row>
    <row r="532" spans="1:4" x14ac:dyDescent="0.25">
      <c r="A532" s="12">
        <v>324271</v>
      </c>
      <c r="B532" s="11">
        <v>2900</v>
      </c>
      <c r="C532" s="17" t="s">
        <v>87</v>
      </c>
      <c r="D532" s="12" t="s">
        <v>573</v>
      </c>
    </row>
    <row r="533" spans="1:4" x14ac:dyDescent="0.25">
      <c r="A533" s="12">
        <v>324266</v>
      </c>
      <c r="B533" s="11">
        <v>2900</v>
      </c>
      <c r="C533" s="17" t="s">
        <v>87</v>
      </c>
      <c r="D533" s="12" t="s">
        <v>574</v>
      </c>
    </row>
    <row r="534" spans="1:4" x14ac:dyDescent="0.25">
      <c r="A534" s="12">
        <v>324170</v>
      </c>
      <c r="B534" s="11">
        <v>2900</v>
      </c>
      <c r="C534" s="17" t="s">
        <v>87</v>
      </c>
      <c r="D534" s="12" t="s">
        <v>575</v>
      </c>
    </row>
    <row r="535" spans="1:4" x14ac:dyDescent="0.25">
      <c r="A535" s="12">
        <v>324114</v>
      </c>
      <c r="B535" s="11">
        <v>2900</v>
      </c>
      <c r="C535" s="17" t="s">
        <v>87</v>
      </c>
      <c r="D535" s="12" t="s">
        <v>576</v>
      </c>
    </row>
    <row r="536" spans="1:4" x14ac:dyDescent="0.25">
      <c r="A536" s="12">
        <v>317576</v>
      </c>
      <c r="B536" s="11">
        <v>2900</v>
      </c>
      <c r="C536" s="17" t="s">
        <v>87</v>
      </c>
      <c r="D536" s="12" t="s">
        <v>577</v>
      </c>
    </row>
    <row r="537" spans="1:4" x14ac:dyDescent="0.25">
      <c r="A537" s="12">
        <v>324065</v>
      </c>
      <c r="B537" s="11">
        <v>2900</v>
      </c>
      <c r="C537" s="17" t="s">
        <v>87</v>
      </c>
      <c r="D537" s="12" t="s">
        <v>578</v>
      </c>
    </row>
    <row r="538" spans="1:4" x14ac:dyDescent="0.25">
      <c r="A538" s="12">
        <v>324191</v>
      </c>
      <c r="B538" s="11">
        <v>2900</v>
      </c>
      <c r="C538" s="17" t="s">
        <v>87</v>
      </c>
      <c r="D538" s="12" t="s">
        <v>579</v>
      </c>
    </row>
    <row r="539" spans="1:4" x14ac:dyDescent="0.25">
      <c r="A539" s="12">
        <v>302023</v>
      </c>
      <c r="B539" s="11">
        <v>2900</v>
      </c>
      <c r="C539" s="17" t="s">
        <v>87</v>
      </c>
      <c r="D539" s="10" t="s">
        <v>580</v>
      </c>
    </row>
    <row r="540" spans="1:4" x14ac:dyDescent="0.25">
      <c r="A540" s="12">
        <v>324330</v>
      </c>
      <c r="B540" s="11">
        <v>2900</v>
      </c>
      <c r="C540" s="17" t="s">
        <v>87</v>
      </c>
      <c r="D540" s="12" t="s">
        <v>581</v>
      </c>
    </row>
    <row r="541" spans="1:4" x14ac:dyDescent="0.25">
      <c r="A541" s="12">
        <v>324149</v>
      </c>
      <c r="B541" s="11">
        <v>2900</v>
      </c>
      <c r="C541" s="17" t="s">
        <v>87</v>
      </c>
      <c r="D541" s="12" t="s">
        <v>582</v>
      </c>
    </row>
    <row r="542" spans="1:4" x14ac:dyDescent="0.25">
      <c r="A542" s="12">
        <v>305067</v>
      </c>
      <c r="B542" s="11">
        <v>2900</v>
      </c>
      <c r="C542" s="17" t="s">
        <v>87</v>
      </c>
      <c r="D542" s="12" t="s">
        <v>493</v>
      </c>
    </row>
    <row r="543" spans="1:4" x14ac:dyDescent="0.25">
      <c r="A543" s="12">
        <v>323157</v>
      </c>
      <c r="B543" s="11">
        <v>2900</v>
      </c>
      <c r="C543" s="17" t="s">
        <v>87</v>
      </c>
      <c r="D543" s="12" t="s">
        <v>583</v>
      </c>
    </row>
    <row r="544" spans="1:4" x14ac:dyDescent="0.25">
      <c r="A544" s="12">
        <v>321000</v>
      </c>
      <c r="B544" s="11">
        <v>2900</v>
      </c>
      <c r="C544" s="17" t="s">
        <v>87</v>
      </c>
      <c r="D544" s="10" t="s">
        <v>584</v>
      </c>
    </row>
    <row r="545" spans="1:4" x14ac:dyDescent="0.25">
      <c r="A545" s="12">
        <v>324324</v>
      </c>
      <c r="B545" s="11">
        <v>2900</v>
      </c>
      <c r="C545" s="17" t="s">
        <v>87</v>
      </c>
      <c r="D545" s="12" t="s">
        <v>585</v>
      </c>
    </row>
    <row r="546" spans="1:4" x14ac:dyDescent="0.25">
      <c r="A546" s="12">
        <v>324340</v>
      </c>
      <c r="B546" s="11">
        <v>2900</v>
      </c>
      <c r="C546" s="17" t="s">
        <v>87</v>
      </c>
      <c r="D546" s="12" t="s">
        <v>586</v>
      </c>
    </row>
    <row r="547" spans="1:4" x14ac:dyDescent="0.25">
      <c r="A547" s="12">
        <v>324285</v>
      </c>
      <c r="B547" s="11">
        <v>2900</v>
      </c>
      <c r="C547" s="17" t="s">
        <v>87</v>
      </c>
      <c r="D547" s="12" t="s">
        <v>587</v>
      </c>
    </row>
    <row r="548" spans="1:4" x14ac:dyDescent="0.25">
      <c r="A548" s="12">
        <v>302629</v>
      </c>
      <c r="B548" s="11">
        <v>2900</v>
      </c>
      <c r="C548" s="17" t="s">
        <v>87</v>
      </c>
      <c r="D548" s="12" t="s">
        <v>588</v>
      </c>
    </row>
    <row r="549" spans="1:4" x14ac:dyDescent="0.25">
      <c r="A549" s="12">
        <v>324438</v>
      </c>
      <c r="B549" s="11">
        <v>2900</v>
      </c>
      <c r="C549" s="17" t="s">
        <v>87</v>
      </c>
      <c r="D549" s="12" t="s">
        <v>589</v>
      </c>
    </row>
    <row r="550" spans="1:4" x14ac:dyDescent="0.25">
      <c r="A550" s="12">
        <v>324392</v>
      </c>
      <c r="B550" s="11">
        <v>2900</v>
      </c>
      <c r="C550" s="17" t="s">
        <v>87</v>
      </c>
      <c r="D550" s="12" t="s">
        <v>590</v>
      </c>
    </row>
    <row r="551" spans="1:4" x14ac:dyDescent="0.25">
      <c r="A551" s="12">
        <v>324400</v>
      </c>
      <c r="B551" s="11">
        <v>2900</v>
      </c>
      <c r="C551" s="17" t="s">
        <v>87</v>
      </c>
      <c r="D551" s="12" t="s">
        <v>591</v>
      </c>
    </row>
    <row r="552" spans="1:4" x14ac:dyDescent="0.25">
      <c r="A552" s="12">
        <v>324468</v>
      </c>
      <c r="B552" s="11">
        <v>2900</v>
      </c>
      <c r="C552" s="17" t="s">
        <v>87</v>
      </c>
      <c r="D552" s="12" t="s">
        <v>592</v>
      </c>
    </row>
    <row r="553" spans="1:4" x14ac:dyDescent="0.25">
      <c r="A553" s="12">
        <v>321000</v>
      </c>
      <c r="B553" s="11">
        <v>2900</v>
      </c>
      <c r="C553" s="17" t="s">
        <v>156</v>
      </c>
      <c r="D553" s="12" t="s">
        <v>593</v>
      </c>
    </row>
    <row r="554" spans="1:4" x14ac:dyDescent="0.25">
      <c r="A554" s="12">
        <v>321900</v>
      </c>
      <c r="B554" s="11">
        <v>2900</v>
      </c>
      <c r="C554" s="17" t="s">
        <v>156</v>
      </c>
      <c r="D554" s="12" t="s">
        <v>594</v>
      </c>
    </row>
    <row r="555" spans="1:4" x14ac:dyDescent="0.25">
      <c r="A555" s="12">
        <v>319669</v>
      </c>
      <c r="B555" s="11">
        <v>2900</v>
      </c>
      <c r="C555" s="17" t="s">
        <v>156</v>
      </c>
      <c r="D555" s="12" t="s">
        <v>595</v>
      </c>
    </row>
    <row r="556" spans="1:4" x14ac:dyDescent="0.25">
      <c r="A556" s="12">
        <v>319600</v>
      </c>
      <c r="B556" s="11">
        <v>2900</v>
      </c>
      <c r="C556" s="17" t="s">
        <v>156</v>
      </c>
      <c r="D556" s="12" t="s">
        <v>596</v>
      </c>
    </row>
    <row r="557" spans="1:4" x14ac:dyDescent="0.25">
      <c r="A557" s="12">
        <v>318731</v>
      </c>
      <c r="B557" s="11">
        <v>2900</v>
      </c>
      <c r="C557" s="17" t="s">
        <v>156</v>
      </c>
      <c r="D557" s="12" t="s">
        <v>597</v>
      </c>
    </row>
    <row r="558" spans="1:4" x14ac:dyDescent="0.25">
      <c r="A558" s="12">
        <v>314947</v>
      </c>
      <c r="B558" s="11">
        <v>2900</v>
      </c>
      <c r="C558" s="17" t="s">
        <v>156</v>
      </c>
      <c r="D558" s="12" t="s">
        <v>598</v>
      </c>
    </row>
    <row r="559" spans="1:4" x14ac:dyDescent="0.25">
      <c r="A559" s="12">
        <v>319992</v>
      </c>
      <c r="B559" s="11">
        <v>2900</v>
      </c>
      <c r="C559" s="17" t="s">
        <v>156</v>
      </c>
      <c r="D559" s="12" t="s">
        <v>599</v>
      </c>
    </row>
    <row r="560" spans="1:4" x14ac:dyDescent="0.25">
      <c r="A560" s="12">
        <v>319549</v>
      </c>
      <c r="B560" s="11">
        <v>2900</v>
      </c>
      <c r="C560" s="17" t="s">
        <v>156</v>
      </c>
      <c r="D560" s="12" t="s">
        <v>600</v>
      </c>
    </row>
    <row r="561" spans="1:4" x14ac:dyDescent="0.25">
      <c r="A561" s="12">
        <v>317074</v>
      </c>
      <c r="B561" s="11">
        <v>2900</v>
      </c>
      <c r="C561" s="17" t="s">
        <v>156</v>
      </c>
      <c r="D561" s="12" t="s">
        <v>601</v>
      </c>
    </row>
    <row r="562" spans="1:4" x14ac:dyDescent="0.25">
      <c r="A562" s="12">
        <v>317355</v>
      </c>
      <c r="B562" s="11">
        <v>2900</v>
      </c>
      <c r="C562" s="17" t="s">
        <v>156</v>
      </c>
      <c r="D562" s="12" t="s">
        <v>602</v>
      </c>
    </row>
    <row r="563" spans="1:4" x14ac:dyDescent="0.25">
      <c r="A563" s="12">
        <v>317360</v>
      </c>
      <c r="B563" s="11">
        <v>2900</v>
      </c>
      <c r="C563" s="17" t="s">
        <v>156</v>
      </c>
      <c r="D563" s="12" t="s">
        <v>603</v>
      </c>
    </row>
    <row r="564" spans="1:4" x14ac:dyDescent="0.25">
      <c r="A564" s="12">
        <v>501801</v>
      </c>
      <c r="B564" s="11">
        <v>4350</v>
      </c>
      <c r="C564" s="17" t="s">
        <v>11</v>
      </c>
      <c r="D564" s="12" t="s">
        <v>604</v>
      </c>
    </row>
    <row r="565" spans="1:4" x14ac:dyDescent="0.25">
      <c r="A565" s="10">
        <v>501857</v>
      </c>
      <c r="B565" s="11">
        <v>4350</v>
      </c>
      <c r="C565" s="17" t="s">
        <v>11</v>
      </c>
      <c r="D565" s="10" t="s">
        <v>605</v>
      </c>
    </row>
    <row r="566" spans="1:4" x14ac:dyDescent="0.25">
      <c r="A566" s="10">
        <v>509509</v>
      </c>
      <c r="B566" s="11">
        <v>4350</v>
      </c>
      <c r="C566" s="17" t="s">
        <v>11</v>
      </c>
      <c r="D566" s="10" t="s">
        <v>606</v>
      </c>
    </row>
    <row r="567" spans="1:4" x14ac:dyDescent="0.25">
      <c r="A567" s="10">
        <v>501965</v>
      </c>
      <c r="B567" s="11">
        <v>4350</v>
      </c>
      <c r="C567" s="17" t="s">
        <v>11</v>
      </c>
      <c r="D567" s="10" t="s">
        <v>607</v>
      </c>
    </row>
    <row r="568" spans="1:4" x14ac:dyDescent="0.25">
      <c r="A568" s="12">
        <v>501971</v>
      </c>
      <c r="B568" s="11">
        <v>4350</v>
      </c>
      <c r="C568" s="17" t="s">
        <v>11</v>
      </c>
      <c r="D568" s="12" t="s">
        <v>608</v>
      </c>
    </row>
    <row r="569" spans="1:4" x14ac:dyDescent="0.25">
      <c r="A569" s="10">
        <v>523181</v>
      </c>
      <c r="B569" s="11">
        <v>4350</v>
      </c>
      <c r="C569" s="17" t="s">
        <v>87</v>
      </c>
      <c r="D569" s="12" t="s">
        <v>609</v>
      </c>
    </row>
    <row r="570" spans="1:4" x14ac:dyDescent="0.25">
      <c r="A570" s="12">
        <v>523030</v>
      </c>
      <c r="B570" s="11">
        <v>4350</v>
      </c>
      <c r="C570" s="17" t="s">
        <v>87</v>
      </c>
      <c r="D570" s="10" t="s">
        <v>610</v>
      </c>
    </row>
    <row r="571" spans="1:4" x14ac:dyDescent="0.25">
      <c r="A571" s="10">
        <v>523298</v>
      </c>
      <c r="B571" s="11">
        <v>4350</v>
      </c>
      <c r="C571" s="17" t="s">
        <v>87</v>
      </c>
      <c r="D571" s="12" t="s">
        <v>611</v>
      </c>
    </row>
    <row r="572" spans="1:4" x14ac:dyDescent="0.25">
      <c r="A572" s="12">
        <v>523295</v>
      </c>
      <c r="B572" s="11">
        <v>4350</v>
      </c>
      <c r="C572" s="17" t="s">
        <v>87</v>
      </c>
      <c r="D572" s="12" t="s">
        <v>612</v>
      </c>
    </row>
    <row r="573" spans="1:4" x14ac:dyDescent="0.25">
      <c r="A573" s="10">
        <v>523173</v>
      </c>
      <c r="B573" s="11">
        <v>4350</v>
      </c>
      <c r="C573" s="17" t="s">
        <v>87</v>
      </c>
      <c r="D573" s="10" t="s">
        <v>613</v>
      </c>
    </row>
    <row r="574" spans="1:4" x14ac:dyDescent="0.25">
      <c r="A574" s="12">
        <v>523030</v>
      </c>
      <c r="B574" s="11">
        <v>4350</v>
      </c>
      <c r="C574" s="17" t="s">
        <v>156</v>
      </c>
      <c r="D574" s="12" t="s">
        <v>614</v>
      </c>
    </row>
    <row r="575" spans="1:4" x14ac:dyDescent="0.25">
      <c r="A575" s="12">
        <v>5215232</v>
      </c>
      <c r="B575" s="11">
        <v>4350</v>
      </c>
      <c r="C575" s="17" t="s">
        <v>156</v>
      </c>
      <c r="D575" s="12" t="s">
        <v>615</v>
      </c>
    </row>
    <row r="576" spans="1:4" x14ac:dyDescent="0.25">
      <c r="A576" s="12">
        <v>522150</v>
      </c>
      <c r="B576" s="11">
        <v>4350</v>
      </c>
      <c r="C576" s="17" t="s">
        <v>156</v>
      </c>
      <c r="D576" s="12" t="s">
        <v>616</v>
      </c>
    </row>
    <row r="577" spans="1:4" x14ac:dyDescent="0.25">
      <c r="A577" s="12">
        <v>521745</v>
      </c>
      <c r="B577" s="11">
        <v>4350</v>
      </c>
      <c r="C577" s="17" t="s">
        <v>156</v>
      </c>
      <c r="D577" s="12" t="s">
        <v>617</v>
      </c>
    </row>
    <row r="578" spans="1:4" x14ac:dyDescent="0.25">
      <c r="A578" s="12">
        <v>523287</v>
      </c>
      <c r="B578" s="11">
        <v>4350</v>
      </c>
      <c r="C578" s="17" t="s">
        <v>156</v>
      </c>
      <c r="D578" s="12" t="s">
        <v>618</v>
      </c>
    </row>
    <row r="579" spans="1:4" x14ac:dyDescent="0.25">
      <c r="A579" s="12">
        <v>501280</v>
      </c>
      <c r="B579" s="11">
        <v>4350</v>
      </c>
      <c r="C579" s="17" t="s">
        <v>11</v>
      </c>
      <c r="D579" s="12" t="s">
        <v>619</v>
      </c>
    </row>
    <row r="580" spans="1:4" x14ac:dyDescent="0.25">
      <c r="A580" s="12">
        <v>452861</v>
      </c>
      <c r="B580" s="11">
        <v>1741</v>
      </c>
      <c r="C580" s="17" t="s">
        <v>87</v>
      </c>
      <c r="D580" s="12" t="s">
        <v>620</v>
      </c>
    </row>
    <row r="581" spans="1:4" x14ac:dyDescent="0.25">
      <c r="A581" s="12">
        <v>351660</v>
      </c>
      <c r="B581" s="11">
        <v>2690</v>
      </c>
      <c r="C581" s="17" t="s">
        <v>11</v>
      </c>
      <c r="D581" s="12" t="s">
        <v>621</v>
      </c>
    </row>
    <row r="582" spans="1:4" x14ac:dyDescent="0.25">
      <c r="A582">
        <v>452861</v>
      </c>
      <c r="B582">
        <v>1741</v>
      </c>
      <c r="C582" t="s">
        <v>622</v>
      </c>
      <c r="D582" t="s">
        <v>620</v>
      </c>
    </row>
    <row r="583" spans="1:4" x14ac:dyDescent="0.25">
      <c r="A583">
        <v>280000</v>
      </c>
      <c r="B583">
        <v>2776</v>
      </c>
      <c r="C583" t="s">
        <v>622</v>
      </c>
      <c r="D583" t="s">
        <v>1009</v>
      </c>
    </row>
    <row r="584" spans="1:4" x14ac:dyDescent="0.25">
      <c r="A584">
        <v>115543</v>
      </c>
      <c r="B584">
        <v>2624</v>
      </c>
      <c r="C584" t="s">
        <v>11</v>
      </c>
      <c r="D584" t="s">
        <v>1129</v>
      </c>
    </row>
    <row r="585" spans="1:4" x14ac:dyDescent="0.25">
      <c r="A585">
        <v>471107</v>
      </c>
      <c r="B585">
        <v>1741</v>
      </c>
      <c r="C585" t="s">
        <v>622</v>
      </c>
      <c r="D585" t="s">
        <v>1166</v>
      </c>
    </row>
    <row r="586" spans="1:4" x14ac:dyDescent="0.25">
      <c r="A586">
        <v>500878</v>
      </c>
      <c r="B586">
        <v>4350</v>
      </c>
      <c r="C586" t="s">
        <v>11</v>
      </c>
      <c r="D586" t="s">
        <v>1293</v>
      </c>
    </row>
    <row r="587" spans="1:4" x14ac:dyDescent="0.25">
      <c r="A587">
        <v>319631</v>
      </c>
      <c r="B587">
        <v>2900</v>
      </c>
      <c r="C587" t="s">
        <v>622</v>
      </c>
      <c r="D587" t="s">
        <v>1301</v>
      </c>
    </row>
    <row r="588" spans="1:4" x14ac:dyDescent="0.25">
      <c r="A588">
        <v>157199</v>
      </c>
      <c r="B588">
        <v>2898</v>
      </c>
      <c r="C588" t="s">
        <v>11</v>
      </c>
      <c r="D588" t="s">
        <v>1457</v>
      </c>
    </row>
    <row r="589" spans="1:4" x14ac:dyDescent="0.25">
      <c r="A589">
        <v>301440</v>
      </c>
      <c r="B589">
        <v>2900</v>
      </c>
      <c r="C589" t="s">
        <v>11</v>
      </c>
      <c r="D589" t="s">
        <v>1470</v>
      </c>
    </row>
    <row r="590" spans="1:4" x14ac:dyDescent="0.25">
      <c r="A590">
        <v>114748</v>
      </c>
      <c r="B590">
        <v>2624</v>
      </c>
      <c r="C590" t="s">
        <v>11</v>
      </c>
      <c r="D590" t="s">
        <v>1477</v>
      </c>
    </row>
    <row r="591" spans="1:4" x14ac:dyDescent="0.25">
      <c r="A591">
        <v>218434</v>
      </c>
      <c r="B591">
        <v>2533</v>
      </c>
      <c r="C591" t="s">
        <v>622</v>
      </c>
      <c r="D591" t="s">
        <v>1507</v>
      </c>
    </row>
    <row r="592" spans="1:4" x14ac:dyDescent="0.25">
      <c r="A592">
        <v>324165</v>
      </c>
      <c r="B592">
        <v>2900</v>
      </c>
      <c r="C592" t="s">
        <v>622</v>
      </c>
      <c r="D592" t="s">
        <v>1510</v>
      </c>
    </row>
    <row r="593" spans="1:4" x14ac:dyDescent="0.25">
      <c r="A593">
        <v>158437</v>
      </c>
      <c r="B593">
        <v>2898</v>
      </c>
      <c r="C593" t="s">
        <v>11</v>
      </c>
      <c r="D593" t="s">
        <v>1514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5"/>
  <sheetViews>
    <sheetView workbookViewId="0">
      <selection activeCell="A11" sqref="A11"/>
    </sheetView>
  </sheetViews>
  <sheetFormatPr defaultRowHeight="15" x14ac:dyDescent="0.25"/>
  <cols>
    <col min="5" max="6" width="10.7109375" bestFit="1" customWidth="1"/>
  </cols>
  <sheetData>
    <row r="1" spans="1:29" x14ac:dyDescent="0.25">
      <c r="A1" s="3" t="s">
        <v>7</v>
      </c>
      <c r="B1" s="3" t="s">
        <v>8</v>
      </c>
      <c r="C1" s="3" t="s">
        <v>10</v>
      </c>
      <c r="D1" s="3" t="s">
        <v>9</v>
      </c>
      <c r="E1" s="3" t="s">
        <v>13</v>
      </c>
      <c r="F1" s="3" t="s">
        <v>14</v>
      </c>
      <c r="G1" s="3" t="s">
        <v>15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x14ac:dyDescent="0.25">
      <c r="A2">
        <v>452590</v>
      </c>
      <c r="B2">
        <v>1741</v>
      </c>
      <c r="C2" t="s">
        <v>107</v>
      </c>
      <c r="D2" t="s">
        <v>87</v>
      </c>
      <c r="E2" s="4">
        <v>46001</v>
      </c>
      <c r="F2" s="4">
        <v>46015</v>
      </c>
      <c r="G2">
        <v>9</v>
      </c>
      <c r="H2" t="s">
        <v>625</v>
      </c>
      <c r="I2" t="s">
        <v>625</v>
      </c>
      <c r="J2" t="s">
        <v>625</v>
      </c>
      <c r="K2" t="s">
        <v>625</v>
      </c>
      <c r="L2" t="s">
        <v>625</v>
      </c>
      <c r="M2" t="s">
        <v>625</v>
      </c>
      <c r="N2" t="s">
        <v>625</v>
      </c>
      <c r="O2" t="s">
        <v>625</v>
      </c>
      <c r="P2" t="s">
        <v>625</v>
      </c>
      <c r="Q2" t="s">
        <v>626</v>
      </c>
    </row>
    <row r="3" spans="1:29" x14ac:dyDescent="0.25">
      <c r="A3">
        <v>452861</v>
      </c>
      <c r="B3">
        <v>1741</v>
      </c>
      <c r="C3" t="s">
        <v>620</v>
      </c>
      <c r="D3" t="s">
        <v>87</v>
      </c>
      <c r="E3" s="4">
        <v>46001</v>
      </c>
      <c r="F3" s="4">
        <v>46015</v>
      </c>
      <c r="G3">
        <v>11</v>
      </c>
      <c r="H3" t="s">
        <v>625</v>
      </c>
      <c r="I3" t="s">
        <v>625</v>
      </c>
      <c r="J3" t="s">
        <v>625</v>
      </c>
      <c r="K3" t="s">
        <v>625</v>
      </c>
      <c r="L3" t="s">
        <v>625</v>
      </c>
      <c r="M3" t="s">
        <v>625</v>
      </c>
      <c r="N3" t="s">
        <v>625</v>
      </c>
      <c r="O3" t="s">
        <v>625</v>
      </c>
      <c r="P3" t="s">
        <v>625</v>
      </c>
      <c r="Q3" t="s">
        <v>626</v>
      </c>
    </row>
    <row r="4" spans="1:29" x14ac:dyDescent="0.25">
      <c r="A4">
        <v>452366</v>
      </c>
      <c r="B4">
        <v>1741</v>
      </c>
      <c r="C4" t="s">
        <v>69</v>
      </c>
      <c r="D4" t="s">
        <v>11</v>
      </c>
      <c r="E4" s="4">
        <v>46001</v>
      </c>
      <c r="F4" s="4">
        <v>46015</v>
      </c>
      <c r="G4">
        <v>12</v>
      </c>
      <c r="H4" t="s">
        <v>625</v>
      </c>
      <c r="I4" t="s">
        <v>625</v>
      </c>
      <c r="J4" t="s">
        <v>625</v>
      </c>
      <c r="K4" t="s">
        <v>625</v>
      </c>
      <c r="L4" t="s">
        <v>625</v>
      </c>
      <c r="M4" t="s">
        <v>625</v>
      </c>
      <c r="N4" t="s">
        <v>625</v>
      </c>
      <c r="O4" t="s">
        <v>625</v>
      </c>
      <c r="P4" t="s">
        <v>625</v>
      </c>
      <c r="Q4" t="s">
        <v>626</v>
      </c>
    </row>
    <row r="5" spans="1:29" x14ac:dyDescent="0.25">
      <c r="A5">
        <v>274214</v>
      </c>
      <c r="B5">
        <v>2776</v>
      </c>
      <c r="C5" t="s">
        <v>277</v>
      </c>
      <c r="D5" t="s">
        <v>156</v>
      </c>
      <c r="E5" s="4">
        <v>46004</v>
      </c>
      <c r="F5" s="4">
        <v>46004</v>
      </c>
      <c r="G5">
        <v>8</v>
      </c>
      <c r="H5" t="s">
        <v>625</v>
      </c>
      <c r="I5" t="s">
        <v>625</v>
      </c>
      <c r="J5" t="s">
        <v>625</v>
      </c>
      <c r="K5" t="s">
        <v>625</v>
      </c>
      <c r="L5" t="s">
        <v>625</v>
      </c>
      <c r="M5" t="s">
        <v>625</v>
      </c>
      <c r="N5" t="s">
        <v>625</v>
      </c>
      <c r="O5" t="s">
        <v>625</v>
      </c>
      <c r="P5" t="s">
        <v>625</v>
      </c>
      <c r="Q5" t="s">
        <v>626</v>
      </c>
    </row>
    <row r="6" spans="1:29" x14ac:dyDescent="0.25">
      <c r="A6">
        <v>354476</v>
      </c>
      <c r="B6">
        <v>2690</v>
      </c>
      <c r="C6" t="s">
        <v>332</v>
      </c>
      <c r="D6" t="s">
        <v>11</v>
      </c>
      <c r="E6" s="4">
        <v>46004</v>
      </c>
      <c r="F6" s="4">
        <v>46015</v>
      </c>
      <c r="G6">
        <v>21</v>
      </c>
      <c r="H6" t="s">
        <v>625</v>
      </c>
      <c r="I6" t="s">
        <v>625</v>
      </c>
      <c r="J6" t="s">
        <v>625</v>
      </c>
      <c r="K6" t="s">
        <v>625</v>
      </c>
      <c r="L6" t="s">
        <v>625</v>
      </c>
      <c r="M6" t="s">
        <v>625</v>
      </c>
      <c r="N6" t="s">
        <v>625</v>
      </c>
      <c r="O6" t="s">
        <v>625</v>
      </c>
      <c r="P6" t="s">
        <v>625</v>
      </c>
      <c r="Q6" t="s">
        <v>626</v>
      </c>
    </row>
    <row r="7" spans="1:29" x14ac:dyDescent="0.25">
      <c r="A7">
        <v>115295</v>
      </c>
      <c r="B7">
        <v>2624</v>
      </c>
      <c r="C7" t="s">
        <v>188</v>
      </c>
      <c r="D7" t="s">
        <v>11</v>
      </c>
      <c r="E7" s="4">
        <v>46006</v>
      </c>
      <c r="F7" s="4">
        <v>46006</v>
      </c>
      <c r="G7">
        <v>2</v>
      </c>
      <c r="H7" t="s">
        <v>625</v>
      </c>
      <c r="I7" t="s">
        <v>625</v>
      </c>
      <c r="J7" t="s">
        <v>625</v>
      </c>
      <c r="K7" t="s">
        <v>625</v>
      </c>
      <c r="L7" t="s">
        <v>625</v>
      </c>
      <c r="M7" t="s">
        <v>625</v>
      </c>
      <c r="N7" t="s">
        <v>625</v>
      </c>
      <c r="O7" t="s">
        <v>625</v>
      </c>
      <c r="P7" t="s">
        <v>625</v>
      </c>
      <c r="Q7" t="s">
        <v>626</v>
      </c>
    </row>
    <row r="8" spans="1:29" x14ac:dyDescent="0.25">
      <c r="A8">
        <v>280000</v>
      </c>
      <c r="B8">
        <v>2776</v>
      </c>
      <c r="C8" t="s">
        <v>1009</v>
      </c>
      <c r="D8" t="s">
        <v>622</v>
      </c>
      <c r="E8" s="4">
        <v>46007</v>
      </c>
      <c r="F8" s="4">
        <v>46007</v>
      </c>
      <c r="G8">
        <v>6</v>
      </c>
      <c r="H8" t="s">
        <v>625</v>
      </c>
      <c r="I8" t="s">
        <v>625</v>
      </c>
      <c r="J8" t="s">
        <v>625</v>
      </c>
      <c r="K8" t="s">
        <v>625</v>
      </c>
      <c r="L8" t="s">
        <v>625</v>
      </c>
      <c r="M8" t="s">
        <v>625</v>
      </c>
      <c r="N8" t="s">
        <v>625</v>
      </c>
      <c r="O8" t="s">
        <v>625</v>
      </c>
      <c r="P8" t="s">
        <v>625</v>
      </c>
      <c r="Q8" t="s">
        <v>626</v>
      </c>
    </row>
    <row r="9" spans="1:29" x14ac:dyDescent="0.25">
      <c r="A9">
        <v>451657</v>
      </c>
      <c r="B9">
        <v>1741</v>
      </c>
      <c r="C9" t="s">
        <v>1131</v>
      </c>
      <c r="D9" t="s">
        <v>11</v>
      </c>
      <c r="E9" s="4">
        <v>46007</v>
      </c>
      <c r="F9" s="4">
        <v>46027</v>
      </c>
      <c r="G9">
        <v>6</v>
      </c>
      <c r="H9" t="s">
        <v>625</v>
      </c>
      <c r="I9" t="s">
        <v>625</v>
      </c>
      <c r="J9" t="s">
        <v>625</v>
      </c>
      <c r="K9" t="s">
        <v>625</v>
      </c>
      <c r="L9" t="s">
        <v>625</v>
      </c>
      <c r="M9" t="s">
        <v>625</v>
      </c>
      <c r="N9" t="s">
        <v>625</v>
      </c>
      <c r="O9" t="s">
        <v>625</v>
      </c>
      <c r="P9" t="s">
        <v>625</v>
      </c>
      <c r="Q9" t="s">
        <v>626</v>
      </c>
      <c r="S9" t="s">
        <v>1495</v>
      </c>
      <c r="U9" t="s">
        <v>1498</v>
      </c>
    </row>
    <row r="10" spans="1:29" x14ac:dyDescent="0.25">
      <c r="A10">
        <v>110151</v>
      </c>
      <c r="B10">
        <v>2624</v>
      </c>
      <c r="C10" t="s">
        <v>206</v>
      </c>
      <c r="D10" t="s">
        <v>87</v>
      </c>
      <c r="E10" s="4">
        <v>46010</v>
      </c>
      <c r="F10" s="4">
        <v>46024</v>
      </c>
      <c r="G10">
        <v>2</v>
      </c>
      <c r="H10" t="s">
        <v>625</v>
      </c>
      <c r="I10" t="s">
        <v>625</v>
      </c>
      <c r="J10" t="s">
        <v>625</v>
      </c>
      <c r="K10" t="s">
        <v>625</v>
      </c>
      <c r="L10" t="s">
        <v>625</v>
      </c>
      <c r="M10" t="s">
        <v>625</v>
      </c>
      <c r="N10" t="s">
        <v>625</v>
      </c>
      <c r="O10" t="s">
        <v>625</v>
      </c>
      <c r="P10" t="s">
        <v>625</v>
      </c>
      <c r="Q10" t="s">
        <v>626</v>
      </c>
    </row>
    <row r="11" spans="1:29" x14ac:dyDescent="0.25">
      <c r="A11">
        <v>129449</v>
      </c>
      <c r="B11">
        <v>2624</v>
      </c>
      <c r="C11" t="s">
        <v>293</v>
      </c>
      <c r="D11" t="s">
        <v>156</v>
      </c>
      <c r="E11" s="4">
        <v>46011</v>
      </c>
      <c r="F11" s="4">
        <v>46015</v>
      </c>
      <c r="G11">
        <v>7</v>
      </c>
      <c r="H11" t="s">
        <v>625</v>
      </c>
      <c r="I11" t="s">
        <v>625</v>
      </c>
      <c r="J11" t="s">
        <v>625</v>
      </c>
      <c r="K11" t="s">
        <v>625</v>
      </c>
      <c r="L11" t="s">
        <v>625</v>
      </c>
      <c r="M11" t="s">
        <v>625</v>
      </c>
      <c r="N11" t="s">
        <v>625</v>
      </c>
      <c r="O11" t="s">
        <v>625</v>
      </c>
      <c r="P11" t="s">
        <v>625</v>
      </c>
      <c r="Q11" t="s">
        <v>626</v>
      </c>
      <c r="W11" t="s">
        <v>1165</v>
      </c>
    </row>
    <row r="12" spans="1:29" x14ac:dyDescent="0.25">
      <c r="A12">
        <v>127927</v>
      </c>
      <c r="B12">
        <v>2624</v>
      </c>
      <c r="C12" t="s">
        <v>241</v>
      </c>
      <c r="D12" t="s">
        <v>87</v>
      </c>
      <c r="E12" s="4">
        <v>46011</v>
      </c>
      <c r="F12" s="4">
        <v>46016</v>
      </c>
      <c r="G12">
        <v>4</v>
      </c>
      <c r="H12" t="s">
        <v>625</v>
      </c>
      <c r="I12" t="s">
        <v>625</v>
      </c>
      <c r="J12" t="s">
        <v>625</v>
      </c>
      <c r="K12" t="s">
        <v>625</v>
      </c>
      <c r="L12" t="s">
        <v>625</v>
      </c>
      <c r="M12" t="s">
        <v>625</v>
      </c>
      <c r="N12" t="s">
        <v>625</v>
      </c>
      <c r="O12" t="s">
        <v>625</v>
      </c>
      <c r="P12" t="s">
        <v>625</v>
      </c>
      <c r="Q12" t="s">
        <v>626</v>
      </c>
      <c r="U12" t="s">
        <v>1150</v>
      </c>
      <c r="W12" t="s">
        <v>1151</v>
      </c>
      <c r="X12" t="s">
        <v>1152</v>
      </c>
    </row>
    <row r="13" spans="1:29" x14ac:dyDescent="0.25">
      <c r="A13">
        <v>471107</v>
      </c>
      <c r="B13">
        <v>1741</v>
      </c>
      <c r="C13" t="s">
        <v>1166</v>
      </c>
      <c r="D13" t="s">
        <v>622</v>
      </c>
      <c r="E13" s="4">
        <v>46011</v>
      </c>
      <c r="F13" s="4">
        <v>46015</v>
      </c>
      <c r="G13">
        <v>2</v>
      </c>
      <c r="H13" t="s">
        <v>625</v>
      </c>
      <c r="I13" t="s">
        <v>625</v>
      </c>
      <c r="J13" t="s">
        <v>625</v>
      </c>
      <c r="K13" t="s">
        <v>625</v>
      </c>
      <c r="L13" t="s">
        <v>625</v>
      </c>
      <c r="M13" t="s">
        <v>625</v>
      </c>
      <c r="N13" t="s">
        <v>625</v>
      </c>
      <c r="O13" t="s">
        <v>625</v>
      </c>
      <c r="P13" t="s">
        <v>625</v>
      </c>
      <c r="Q13" t="s">
        <v>626</v>
      </c>
      <c r="W13" t="s">
        <v>1178</v>
      </c>
      <c r="X13" t="s">
        <v>1179</v>
      </c>
    </row>
    <row r="14" spans="1:29" x14ac:dyDescent="0.25">
      <c r="A14">
        <v>500878</v>
      </c>
      <c r="B14">
        <v>4350</v>
      </c>
      <c r="C14" t="s">
        <v>1293</v>
      </c>
      <c r="D14" t="s">
        <v>11</v>
      </c>
      <c r="E14" s="4">
        <v>46014</v>
      </c>
      <c r="F14" s="4">
        <v>46020</v>
      </c>
      <c r="G14">
        <v>4</v>
      </c>
      <c r="H14" t="s">
        <v>625</v>
      </c>
      <c r="I14" t="s">
        <v>625</v>
      </c>
      <c r="J14" t="s">
        <v>625</v>
      </c>
      <c r="K14" t="s">
        <v>625</v>
      </c>
      <c r="L14" t="s">
        <v>625</v>
      </c>
      <c r="M14" t="s">
        <v>625</v>
      </c>
      <c r="N14" t="s">
        <v>625</v>
      </c>
      <c r="O14" t="s">
        <v>625</v>
      </c>
      <c r="P14" t="s">
        <v>625</v>
      </c>
      <c r="Q14" t="s">
        <v>626</v>
      </c>
    </row>
    <row r="15" spans="1:29" x14ac:dyDescent="0.25">
      <c r="A15">
        <v>319631</v>
      </c>
      <c r="B15">
        <v>2900</v>
      </c>
      <c r="C15" t="s">
        <v>1301</v>
      </c>
      <c r="D15" t="s">
        <v>622</v>
      </c>
      <c r="E15" s="4">
        <v>46014</v>
      </c>
      <c r="F15" s="4">
        <v>46014</v>
      </c>
      <c r="G15">
        <v>1</v>
      </c>
      <c r="H15" t="s">
        <v>625</v>
      </c>
      <c r="I15" t="s">
        <v>625</v>
      </c>
      <c r="J15" t="s">
        <v>625</v>
      </c>
      <c r="K15" t="s">
        <v>625</v>
      </c>
      <c r="L15" t="s">
        <v>625</v>
      </c>
      <c r="M15" t="s">
        <v>625</v>
      </c>
      <c r="N15" t="s">
        <v>625</v>
      </c>
      <c r="O15" t="s">
        <v>625</v>
      </c>
      <c r="P15" t="s">
        <v>625</v>
      </c>
      <c r="Q15" t="s">
        <v>626</v>
      </c>
    </row>
    <row r="16" spans="1:29" x14ac:dyDescent="0.25">
      <c r="A16">
        <v>115494</v>
      </c>
      <c r="B16">
        <v>2624</v>
      </c>
      <c r="C16" t="s">
        <v>196</v>
      </c>
      <c r="D16" t="s">
        <v>11</v>
      </c>
      <c r="E16" s="4">
        <v>46015</v>
      </c>
      <c r="F16" s="4">
        <v>46016</v>
      </c>
      <c r="G16">
        <v>5</v>
      </c>
      <c r="H16" t="s">
        <v>643</v>
      </c>
      <c r="I16" t="s">
        <v>643</v>
      </c>
      <c r="J16" t="s">
        <v>643</v>
      </c>
      <c r="K16" t="s">
        <v>643</v>
      </c>
      <c r="L16" t="s">
        <v>643</v>
      </c>
      <c r="M16" t="s">
        <v>643</v>
      </c>
      <c r="N16" t="s">
        <v>643</v>
      </c>
      <c r="O16" t="s">
        <v>643</v>
      </c>
      <c r="P16" t="s">
        <v>643</v>
      </c>
      <c r="Q16" t="s">
        <v>626</v>
      </c>
      <c r="R16" t="s">
        <v>1445</v>
      </c>
    </row>
    <row r="17" spans="1:24" x14ac:dyDescent="0.25">
      <c r="A17">
        <v>501857</v>
      </c>
      <c r="B17">
        <v>4350</v>
      </c>
      <c r="C17" t="s">
        <v>605</v>
      </c>
      <c r="D17" t="s">
        <v>11</v>
      </c>
      <c r="E17" s="4">
        <v>46015</v>
      </c>
      <c r="F17" s="4">
        <v>46018</v>
      </c>
      <c r="G17">
        <v>5</v>
      </c>
      <c r="H17" t="s">
        <v>625</v>
      </c>
      <c r="I17" t="s">
        <v>643</v>
      </c>
      <c r="J17" t="s">
        <v>643</v>
      </c>
      <c r="K17" t="s">
        <v>643</v>
      </c>
      <c r="L17" t="s">
        <v>643</v>
      </c>
      <c r="M17" t="s">
        <v>643</v>
      </c>
      <c r="N17" t="s">
        <v>643</v>
      </c>
      <c r="O17" t="s">
        <v>643</v>
      </c>
      <c r="P17" t="s">
        <v>643</v>
      </c>
      <c r="Q17" t="s">
        <v>626</v>
      </c>
    </row>
    <row r="18" spans="1:24" x14ac:dyDescent="0.25">
      <c r="A18">
        <v>115543</v>
      </c>
      <c r="B18">
        <v>2624</v>
      </c>
      <c r="C18" t="s">
        <v>1129</v>
      </c>
      <c r="D18" t="s">
        <v>11</v>
      </c>
      <c r="E18" s="4">
        <v>46016</v>
      </c>
      <c r="F18" s="4">
        <v>46021</v>
      </c>
      <c r="G18">
        <v>8</v>
      </c>
      <c r="H18" t="s">
        <v>643</v>
      </c>
      <c r="I18" t="s">
        <v>643</v>
      </c>
      <c r="J18" t="s">
        <v>643</v>
      </c>
      <c r="K18" t="s">
        <v>643</v>
      </c>
      <c r="L18" t="s">
        <v>643</v>
      </c>
      <c r="M18" t="s">
        <v>643</v>
      </c>
      <c r="N18" t="s">
        <v>643</v>
      </c>
      <c r="O18" t="s">
        <v>643</v>
      </c>
      <c r="P18" t="s">
        <v>643</v>
      </c>
      <c r="Q18" t="s">
        <v>626</v>
      </c>
      <c r="R18" t="s">
        <v>1444</v>
      </c>
    </row>
    <row r="19" spans="1:24" x14ac:dyDescent="0.25">
      <c r="A19">
        <v>157199</v>
      </c>
      <c r="B19">
        <v>2898</v>
      </c>
      <c r="C19" t="s">
        <v>1457</v>
      </c>
      <c r="D19" t="s">
        <v>11</v>
      </c>
      <c r="E19" s="4">
        <v>46018</v>
      </c>
      <c r="F19" s="4">
        <v>46018</v>
      </c>
      <c r="G19">
        <v>3</v>
      </c>
      <c r="H19" t="s">
        <v>625</v>
      </c>
      <c r="I19" t="s">
        <v>625</v>
      </c>
      <c r="J19" t="s">
        <v>625</v>
      </c>
      <c r="K19" t="s">
        <v>625</v>
      </c>
      <c r="L19" t="s">
        <v>625</v>
      </c>
      <c r="M19" t="s">
        <v>625</v>
      </c>
      <c r="N19" t="s">
        <v>625</v>
      </c>
      <c r="O19" t="s">
        <v>625</v>
      </c>
      <c r="P19" t="s">
        <v>625</v>
      </c>
      <c r="Q19" t="s">
        <v>626</v>
      </c>
    </row>
    <row r="20" spans="1:24" x14ac:dyDescent="0.25">
      <c r="A20">
        <v>301440</v>
      </c>
      <c r="B20">
        <v>2900</v>
      </c>
      <c r="C20" t="s">
        <v>1470</v>
      </c>
      <c r="D20" t="s">
        <v>11</v>
      </c>
      <c r="E20" s="4">
        <v>46018</v>
      </c>
      <c r="F20" s="4">
        <v>46018</v>
      </c>
      <c r="G20">
        <v>1</v>
      </c>
      <c r="H20" t="s">
        <v>625</v>
      </c>
      <c r="I20" t="s">
        <v>625</v>
      </c>
      <c r="J20" t="s">
        <v>625</v>
      </c>
      <c r="K20" t="s">
        <v>625</v>
      </c>
      <c r="L20" t="s">
        <v>625</v>
      </c>
      <c r="M20" t="s">
        <v>625</v>
      </c>
      <c r="N20" t="s">
        <v>625</v>
      </c>
      <c r="O20" t="s">
        <v>625</v>
      </c>
      <c r="P20" t="s">
        <v>625</v>
      </c>
      <c r="Q20" t="s">
        <v>626</v>
      </c>
    </row>
    <row r="21" spans="1:24" x14ac:dyDescent="0.25">
      <c r="A21">
        <v>114748</v>
      </c>
      <c r="B21">
        <v>2624</v>
      </c>
      <c r="C21" t="s">
        <v>1477</v>
      </c>
      <c r="D21" t="s">
        <v>11</v>
      </c>
      <c r="E21" s="4">
        <v>46022</v>
      </c>
      <c r="F21" s="4">
        <v>46024</v>
      </c>
      <c r="G21">
        <v>2</v>
      </c>
      <c r="H21" t="s">
        <v>625</v>
      </c>
      <c r="I21" t="s">
        <v>625</v>
      </c>
      <c r="J21" t="s">
        <v>625</v>
      </c>
      <c r="K21" t="s">
        <v>625</v>
      </c>
      <c r="L21" t="s">
        <v>625</v>
      </c>
      <c r="M21" t="s">
        <v>625</v>
      </c>
      <c r="N21" t="s">
        <v>625</v>
      </c>
      <c r="O21" t="s">
        <v>625</v>
      </c>
      <c r="P21" t="s">
        <v>625</v>
      </c>
      <c r="Q21" t="s">
        <v>626</v>
      </c>
      <c r="X21" t="s">
        <v>1485</v>
      </c>
    </row>
    <row r="22" spans="1:24" x14ac:dyDescent="0.25">
      <c r="A22">
        <v>218434</v>
      </c>
      <c r="B22">
        <v>2533</v>
      </c>
      <c r="C22" t="s">
        <v>1507</v>
      </c>
      <c r="D22" t="s">
        <v>622</v>
      </c>
      <c r="E22" s="4">
        <v>46027</v>
      </c>
      <c r="F22" s="4">
        <v>46032</v>
      </c>
      <c r="G22">
        <v>4</v>
      </c>
      <c r="H22" t="s">
        <v>625</v>
      </c>
      <c r="I22" t="s">
        <v>643</v>
      </c>
      <c r="J22" t="s">
        <v>643</v>
      </c>
      <c r="K22" t="s">
        <v>625</v>
      </c>
      <c r="L22" t="s">
        <v>643</v>
      </c>
      <c r="M22" t="s">
        <v>625</v>
      </c>
      <c r="N22" t="s">
        <v>625</v>
      </c>
      <c r="O22" t="s">
        <v>643</v>
      </c>
      <c r="P22" t="s">
        <v>643</v>
      </c>
      <c r="Q22" t="s">
        <v>626</v>
      </c>
      <c r="S22" t="s">
        <v>1513</v>
      </c>
      <c r="W22" t="s">
        <v>1532</v>
      </c>
    </row>
    <row r="23" spans="1:24" x14ac:dyDescent="0.25">
      <c r="A23">
        <v>324165</v>
      </c>
      <c r="B23">
        <v>2900</v>
      </c>
      <c r="C23" t="s">
        <v>1510</v>
      </c>
      <c r="D23" t="s">
        <v>622</v>
      </c>
      <c r="E23" s="4">
        <v>46027</v>
      </c>
      <c r="F23" s="4">
        <v>46027</v>
      </c>
      <c r="G23">
        <v>1</v>
      </c>
      <c r="H23" t="s">
        <v>625</v>
      </c>
      <c r="I23" t="s">
        <v>643</v>
      </c>
      <c r="J23" t="s">
        <v>643</v>
      </c>
      <c r="K23" t="s">
        <v>643</v>
      </c>
      <c r="L23" t="s">
        <v>643</v>
      </c>
      <c r="M23" t="s">
        <v>643</v>
      </c>
      <c r="N23" t="s">
        <v>643</v>
      </c>
      <c r="O23" t="s">
        <v>643</v>
      </c>
      <c r="P23" t="s">
        <v>643</v>
      </c>
      <c r="Q23" t="s">
        <v>626</v>
      </c>
    </row>
    <row r="24" spans="1:24" x14ac:dyDescent="0.25">
      <c r="A24">
        <v>158437</v>
      </c>
      <c r="B24">
        <v>2898</v>
      </c>
      <c r="C24" t="s">
        <v>1514</v>
      </c>
      <c r="D24" t="s">
        <v>11</v>
      </c>
      <c r="E24" s="4">
        <v>46031</v>
      </c>
      <c r="F24" s="4">
        <v>46031</v>
      </c>
      <c r="G24">
        <v>1</v>
      </c>
      <c r="H24" t="s">
        <v>625</v>
      </c>
      <c r="I24" t="s">
        <v>643</v>
      </c>
      <c r="J24" t="s">
        <v>643</v>
      </c>
      <c r="K24" t="s">
        <v>643</v>
      </c>
      <c r="L24" t="s">
        <v>643</v>
      </c>
      <c r="M24" t="s">
        <v>643</v>
      </c>
      <c r="N24" t="s">
        <v>643</v>
      </c>
      <c r="O24" t="s">
        <v>643</v>
      </c>
      <c r="P24" t="s">
        <v>643</v>
      </c>
      <c r="Q24" t="s">
        <v>626</v>
      </c>
    </row>
    <row r="25" spans="1:24" x14ac:dyDescent="0.25">
      <c r="A25">
        <v>323667</v>
      </c>
      <c r="B25">
        <v>2900</v>
      </c>
      <c r="C25" t="s">
        <v>488</v>
      </c>
      <c r="D25" t="s">
        <v>87</v>
      </c>
      <c r="E25" s="4">
        <v>46032</v>
      </c>
      <c r="F25" s="4">
        <v>46032</v>
      </c>
      <c r="G25">
        <v>1</v>
      </c>
      <c r="H25" t="s">
        <v>625</v>
      </c>
      <c r="I25" t="s">
        <v>666</v>
      </c>
      <c r="J25" t="s">
        <v>666</v>
      </c>
      <c r="K25" t="s">
        <v>666</v>
      </c>
      <c r="L25" t="s">
        <v>666</v>
      </c>
      <c r="M25" t="s">
        <v>666</v>
      </c>
      <c r="N25" t="s">
        <v>666</v>
      </c>
      <c r="O25" t="s">
        <v>666</v>
      </c>
      <c r="P25" t="s">
        <v>666</v>
      </c>
      <c r="Q25" t="s">
        <v>626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91"/>
  <sheetViews>
    <sheetView tabSelected="1" workbookViewId="0"/>
  </sheetViews>
  <sheetFormatPr defaultRowHeight="15" x14ac:dyDescent="0.25"/>
  <sheetData>
    <row r="1" spans="1:14" x14ac:dyDescent="0.25">
      <c r="A1" s="3" t="s">
        <v>26</v>
      </c>
      <c r="B1" s="3" t="s">
        <v>7</v>
      </c>
      <c r="C1" s="3" t="s">
        <v>8</v>
      </c>
      <c r="D1" s="3" t="s">
        <v>10</v>
      </c>
      <c r="E1" s="3" t="s">
        <v>9</v>
      </c>
      <c r="F1" s="3" t="s">
        <v>27</v>
      </c>
      <c r="G1" s="3" t="s">
        <v>28</v>
      </c>
      <c r="H1" s="3" t="s">
        <v>29</v>
      </c>
      <c r="I1" s="3" t="s">
        <v>30</v>
      </c>
      <c r="J1" s="3" t="s">
        <v>31</v>
      </c>
      <c r="K1" s="3" t="s">
        <v>32</v>
      </c>
      <c r="L1" s="3" t="s">
        <v>33</v>
      </c>
      <c r="M1" s="3" t="s">
        <v>34</v>
      </c>
      <c r="N1" s="3" t="s">
        <v>35</v>
      </c>
    </row>
    <row r="2" spans="1:14" x14ac:dyDescent="0.25">
      <c r="A2" t="s">
        <v>36</v>
      </c>
    </row>
    <row r="4" spans="1:14" x14ac:dyDescent="0.25">
      <c r="A4" t="s">
        <v>623</v>
      </c>
      <c r="B4">
        <v>452590</v>
      </c>
      <c r="C4">
        <v>1741</v>
      </c>
      <c r="D4" t="s">
        <v>107</v>
      </c>
      <c r="E4" t="s">
        <v>87</v>
      </c>
      <c r="F4" t="s">
        <v>624</v>
      </c>
      <c r="G4" t="s">
        <v>625</v>
      </c>
      <c r="H4" s="4">
        <v>46001</v>
      </c>
      <c r="I4" s="40">
        <v>0.47858796296296297</v>
      </c>
      <c r="J4" t="s">
        <v>626</v>
      </c>
      <c r="M4" t="s">
        <v>627</v>
      </c>
      <c r="N4" t="s">
        <v>628</v>
      </c>
    </row>
    <row r="5" spans="1:14" x14ac:dyDescent="0.25">
      <c r="A5" t="s">
        <v>629</v>
      </c>
      <c r="B5">
        <v>452590</v>
      </c>
      <c r="C5">
        <v>1741</v>
      </c>
      <c r="D5" t="s">
        <v>107</v>
      </c>
      <c r="E5" t="s">
        <v>87</v>
      </c>
      <c r="F5" t="s">
        <v>630</v>
      </c>
      <c r="G5" t="s">
        <v>625</v>
      </c>
      <c r="H5" s="4">
        <v>46001</v>
      </c>
      <c r="I5" s="40">
        <v>0.47859953703703706</v>
      </c>
      <c r="J5" t="s">
        <v>626</v>
      </c>
      <c r="M5" t="s">
        <v>627</v>
      </c>
      <c r="N5" t="s">
        <v>628</v>
      </c>
    </row>
    <row r="6" spans="1:14" x14ac:dyDescent="0.25">
      <c r="A6" t="s">
        <v>631</v>
      </c>
      <c r="B6">
        <v>452590</v>
      </c>
      <c r="C6">
        <v>1741</v>
      </c>
      <c r="D6" t="s">
        <v>107</v>
      </c>
      <c r="E6" t="s">
        <v>87</v>
      </c>
      <c r="F6" t="s">
        <v>632</v>
      </c>
      <c r="G6" t="s">
        <v>625</v>
      </c>
      <c r="H6" s="4">
        <v>46001</v>
      </c>
      <c r="I6" s="40">
        <v>0.4786111111111111</v>
      </c>
      <c r="J6" t="s">
        <v>626</v>
      </c>
      <c r="M6" t="s">
        <v>627</v>
      </c>
      <c r="N6" t="s">
        <v>628</v>
      </c>
    </row>
    <row r="7" spans="1:14" x14ac:dyDescent="0.25">
      <c r="A7" t="s">
        <v>633</v>
      </c>
      <c r="B7">
        <v>452590</v>
      </c>
      <c r="C7">
        <v>1741</v>
      </c>
      <c r="D7" t="s">
        <v>107</v>
      </c>
      <c r="E7" t="s">
        <v>87</v>
      </c>
      <c r="F7" t="s">
        <v>634</v>
      </c>
      <c r="G7" t="s">
        <v>625</v>
      </c>
      <c r="H7" s="4">
        <v>46001</v>
      </c>
      <c r="I7" s="40">
        <v>0.47862268518518519</v>
      </c>
      <c r="J7" t="s">
        <v>626</v>
      </c>
      <c r="M7" t="s">
        <v>627</v>
      </c>
      <c r="N7" t="s">
        <v>628</v>
      </c>
    </row>
    <row r="8" spans="1:14" x14ac:dyDescent="0.25">
      <c r="A8" t="s">
        <v>635</v>
      </c>
      <c r="B8">
        <v>452590</v>
      </c>
      <c r="C8">
        <v>1741</v>
      </c>
      <c r="D8" t="s">
        <v>107</v>
      </c>
      <c r="E8" t="s">
        <v>87</v>
      </c>
      <c r="F8" t="s">
        <v>636</v>
      </c>
      <c r="G8" t="s">
        <v>625</v>
      </c>
      <c r="H8" s="4">
        <v>46001</v>
      </c>
      <c r="I8" s="40">
        <v>0.47862268518518519</v>
      </c>
      <c r="J8" t="s">
        <v>626</v>
      </c>
      <c r="M8" t="s">
        <v>627</v>
      </c>
      <c r="N8" t="s">
        <v>628</v>
      </c>
    </row>
    <row r="9" spans="1:14" x14ac:dyDescent="0.25">
      <c r="A9" t="s">
        <v>637</v>
      </c>
      <c r="B9">
        <v>452590</v>
      </c>
      <c r="C9">
        <v>1741</v>
      </c>
      <c r="D9" t="s">
        <v>107</v>
      </c>
      <c r="E9" t="s">
        <v>87</v>
      </c>
      <c r="F9" t="s">
        <v>638</v>
      </c>
      <c r="G9" t="s">
        <v>639</v>
      </c>
      <c r="H9" s="4">
        <v>46001</v>
      </c>
      <c r="I9" s="40">
        <v>0.47863425925925923</v>
      </c>
      <c r="J9" t="s">
        <v>626</v>
      </c>
      <c r="L9" t="s">
        <v>640</v>
      </c>
      <c r="M9" t="s">
        <v>627</v>
      </c>
      <c r="N9" t="s">
        <v>628</v>
      </c>
    </row>
    <row r="10" spans="1:14" x14ac:dyDescent="0.25">
      <c r="A10" t="s">
        <v>641</v>
      </c>
      <c r="B10">
        <v>452590</v>
      </c>
      <c r="C10">
        <v>1741</v>
      </c>
      <c r="D10" t="s">
        <v>107</v>
      </c>
      <c r="E10" t="s">
        <v>87</v>
      </c>
      <c r="F10" t="s">
        <v>642</v>
      </c>
      <c r="G10" t="s">
        <v>643</v>
      </c>
      <c r="H10" s="4">
        <v>46001</v>
      </c>
      <c r="I10" s="40">
        <v>0.47864583333333333</v>
      </c>
      <c r="J10" t="s">
        <v>626</v>
      </c>
      <c r="M10" t="s">
        <v>627</v>
      </c>
      <c r="N10" t="s">
        <v>628</v>
      </c>
    </row>
    <row r="11" spans="1:14" x14ac:dyDescent="0.25">
      <c r="A11" t="s">
        <v>644</v>
      </c>
      <c r="B11">
        <v>452590</v>
      </c>
      <c r="C11">
        <v>1741</v>
      </c>
      <c r="D11" t="s">
        <v>107</v>
      </c>
      <c r="E11" t="s">
        <v>87</v>
      </c>
      <c r="F11" t="s">
        <v>645</v>
      </c>
      <c r="G11" t="s">
        <v>643</v>
      </c>
      <c r="H11" s="4">
        <v>46001</v>
      </c>
      <c r="I11" s="40">
        <v>0.47865740740740742</v>
      </c>
      <c r="J11" t="s">
        <v>626</v>
      </c>
      <c r="M11" t="s">
        <v>627</v>
      </c>
      <c r="N11" t="s">
        <v>628</v>
      </c>
    </row>
    <row r="12" spans="1:14" x14ac:dyDescent="0.25">
      <c r="A12" t="s">
        <v>646</v>
      </c>
      <c r="B12">
        <v>452590</v>
      </c>
      <c r="C12">
        <v>1741</v>
      </c>
      <c r="D12" t="s">
        <v>107</v>
      </c>
      <c r="E12" t="s">
        <v>87</v>
      </c>
      <c r="F12" t="s">
        <v>647</v>
      </c>
      <c r="G12" t="s">
        <v>643</v>
      </c>
      <c r="H12" s="4">
        <v>46001</v>
      </c>
      <c r="I12" s="40">
        <v>0.47866898148148146</v>
      </c>
      <c r="J12" t="s">
        <v>626</v>
      </c>
      <c r="M12" t="s">
        <v>627</v>
      </c>
      <c r="N12" t="s">
        <v>628</v>
      </c>
    </row>
    <row r="13" spans="1:14" x14ac:dyDescent="0.25">
      <c r="A13" t="s">
        <v>648</v>
      </c>
      <c r="B13">
        <v>452590</v>
      </c>
      <c r="C13">
        <v>1741</v>
      </c>
      <c r="D13" t="s">
        <v>107</v>
      </c>
      <c r="E13" t="s">
        <v>87</v>
      </c>
      <c r="F13" t="s">
        <v>624</v>
      </c>
      <c r="G13" t="s">
        <v>625</v>
      </c>
      <c r="H13" s="4">
        <v>46001</v>
      </c>
      <c r="I13" s="40">
        <v>0.4904513888888889</v>
      </c>
      <c r="J13" t="s">
        <v>626</v>
      </c>
      <c r="M13" t="s">
        <v>627</v>
      </c>
      <c r="N13" t="s">
        <v>628</v>
      </c>
    </row>
    <row r="14" spans="1:14" x14ac:dyDescent="0.25">
      <c r="A14" t="s">
        <v>649</v>
      </c>
      <c r="B14">
        <v>452590</v>
      </c>
      <c r="C14">
        <v>1741</v>
      </c>
      <c r="D14" t="s">
        <v>107</v>
      </c>
      <c r="E14" t="s">
        <v>87</v>
      </c>
      <c r="F14" t="s">
        <v>630</v>
      </c>
      <c r="G14" t="s">
        <v>625</v>
      </c>
      <c r="H14" s="4">
        <v>46001</v>
      </c>
      <c r="I14" s="40">
        <v>0.49046296296296299</v>
      </c>
      <c r="J14" t="s">
        <v>626</v>
      </c>
      <c r="M14" t="s">
        <v>627</v>
      </c>
      <c r="N14" t="s">
        <v>628</v>
      </c>
    </row>
    <row r="15" spans="1:14" x14ac:dyDescent="0.25">
      <c r="A15" t="s">
        <v>650</v>
      </c>
      <c r="B15">
        <v>452590</v>
      </c>
      <c r="C15">
        <v>1741</v>
      </c>
      <c r="D15" t="s">
        <v>107</v>
      </c>
      <c r="E15" t="s">
        <v>87</v>
      </c>
      <c r="F15" t="s">
        <v>632</v>
      </c>
      <c r="G15" t="s">
        <v>625</v>
      </c>
      <c r="H15" s="4">
        <v>46001</v>
      </c>
      <c r="I15" s="40">
        <v>0.49047453703703703</v>
      </c>
      <c r="J15" t="s">
        <v>626</v>
      </c>
      <c r="M15" t="s">
        <v>627</v>
      </c>
      <c r="N15" t="s">
        <v>628</v>
      </c>
    </row>
    <row r="16" spans="1:14" x14ac:dyDescent="0.25">
      <c r="A16" t="s">
        <v>651</v>
      </c>
      <c r="B16">
        <v>452590</v>
      </c>
      <c r="C16">
        <v>1741</v>
      </c>
      <c r="D16" t="s">
        <v>107</v>
      </c>
      <c r="E16" t="s">
        <v>87</v>
      </c>
      <c r="F16" t="s">
        <v>624</v>
      </c>
      <c r="G16" t="s">
        <v>625</v>
      </c>
      <c r="H16" s="4">
        <v>46001</v>
      </c>
      <c r="I16" s="40">
        <v>0.49138888888888888</v>
      </c>
      <c r="J16" t="s">
        <v>626</v>
      </c>
      <c r="M16" t="s">
        <v>627</v>
      </c>
      <c r="N16" t="s">
        <v>628</v>
      </c>
    </row>
    <row r="17" spans="1:14" x14ac:dyDescent="0.25">
      <c r="A17" t="s">
        <v>652</v>
      </c>
      <c r="B17">
        <v>452590</v>
      </c>
      <c r="C17">
        <v>1741</v>
      </c>
      <c r="D17" t="s">
        <v>107</v>
      </c>
      <c r="E17" t="s">
        <v>87</v>
      </c>
      <c r="F17" t="s">
        <v>630</v>
      </c>
      <c r="G17" t="s">
        <v>625</v>
      </c>
      <c r="H17" s="4">
        <v>46001</v>
      </c>
      <c r="I17" s="40">
        <v>0.49138888888888888</v>
      </c>
      <c r="J17" t="s">
        <v>626</v>
      </c>
      <c r="M17" t="s">
        <v>627</v>
      </c>
      <c r="N17" t="s">
        <v>628</v>
      </c>
    </row>
    <row r="18" spans="1:14" x14ac:dyDescent="0.25">
      <c r="A18" t="s">
        <v>653</v>
      </c>
      <c r="B18">
        <v>452590</v>
      </c>
      <c r="C18">
        <v>1741</v>
      </c>
      <c r="D18" t="s">
        <v>107</v>
      </c>
      <c r="E18" t="s">
        <v>87</v>
      </c>
      <c r="F18" t="s">
        <v>632</v>
      </c>
      <c r="G18" t="s">
        <v>625</v>
      </c>
      <c r="H18" s="4">
        <v>46001</v>
      </c>
      <c r="I18" s="40">
        <v>0.49140046296296297</v>
      </c>
      <c r="J18" t="s">
        <v>626</v>
      </c>
      <c r="M18" t="s">
        <v>627</v>
      </c>
      <c r="N18" t="s">
        <v>628</v>
      </c>
    </row>
    <row r="19" spans="1:14" x14ac:dyDescent="0.25">
      <c r="A19" t="s">
        <v>654</v>
      </c>
      <c r="B19">
        <v>452590</v>
      </c>
      <c r="C19">
        <v>1741</v>
      </c>
      <c r="D19" t="s">
        <v>107</v>
      </c>
      <c r="E19" t="s">
        <v>87</v>
      </c>
      <c r="F19" t="s">
        <v>634</v>
      </c>
      <c r="G19" t="s">
        <v>625</v>
      </c>
      <c r="H19" s="4">
        <v>46001</v>
      </c>
      <c r="I19" s="40">
        <v>0.49141203703703706</v>
      </c>
      <c r="J19" t="s">
        <v>626</v>
      </c>
      <c r="M19" t="s">
        <v>627</v>
      </c>
      <c r="N19" t="s">
        <v>628</v>
      </c>
    </row>
    <row r="20" spans="1:14" x14ac:dyDescent="0.25">
      <c r="A20" t="s">
        <v>655</v>
      </c>
      <c r="B20">
        <v>452590</v>
      </c>
      <c r="C20">
        <v>1741</v>
      </c>
      <c r="D20" t="s">
        <v>107</v>
      </c>
      <c r="E20" t="s">
        <v>87</v>
      </c>
      <c r="F20" t="s">
        <v>636</v>
      </c>
      <c r="G20" t="s">
        <v>625</v>
      </c>
      <c r="H20" s="4">
        <v>46001</v>
      </c>
      <c r="I20" s="40">
        <v>0.4914236111111111</v>
      </c>
      <c r="J20" t="s">
        <v>626</v>
      </c>
      <c r="M20" t="s">
        <v>627</v>
      </c>
      <c r="N20" t="s">
        <v>628</v>
      </c>
    </row>
    <row r="21" spans="1:14" x14ac:dyDescent="0.25">
      <c r="A21" t="s">
        <v>656</v>
      </c>
      <c r="B21">
        <v>452590</v>
      </c>
      <c r="C21">
        <v>1741</v>
      </c>
      <c r="D21" t="s">
        <v>107</v>
      </c>
      <c r="E21" t="s">
        <v>87</v>
      </c>
      <c r="F21" t="s">
        <v>638</v>
      </c>
      <c r="G21" t="s">
        <v>639</v>
      </c>
      <c r="H21" s="4">
        <v>46001</v>
      </c>
      <c r="I21" s="40">
        <v>0.4914236111111111</v>
      </c>
      <c r="J21" t="s">
        <v>626</v>
      </c>
      <c r="L21" t="s">
        <v>640</v>
      </c>
      <c r="M21" t="s">
        <v>627</v>
      </c>
      <c r="N21" t="s">
        <v>628</v>
      </c>
    </row>
    <row r="22" spans="1:14" x14ac:dyDescent="0.25">
      <c r="A22" t="s">
        <v>657</v>
      </c>
      <c r="B22">
        <v>452590</v>
      </c>
      <c r="C22">
        <v>1741</v>
      </c>
      <c r="D22" t="s">
        <v>107</v>
      </c>
      <c r="E22" t="s">
        <v>87</v>
      </c>
      <c r="F22" t="s">
        <v>642</v>
      </c>
      <c r="G22" t="s">
        <v>643</v>
      </c>
      <c r="H22" s="4">
        <v>46001</v>
      </c>
      <c r="I22" s="40">
        <v>0.4914351851851852</v>
      </c>
      <c r="J22" t="s">
        <v>626</v>
      </c>
      <c r="M22" t="s">
        <v>627</v>
      </c>
      <c r="N22" t="s">
        <v>628</v>
      </c>
    </row>
    <row r="23" spans="1:14" x14ac:dyDescent="0.25">
      <c r="A23" t="s">
        <v>658</v>
      </c>
      <c r="B23">
        <v>452590</v>
      </c>
      <c r="C23">
        <v>1741</v>
      </c>
      <c r="D23" t="s">
        <v>107</v>
      </c>
      <c r="E23" t="s">
        <v>87</v>
      </c>
      <c r="F23" t="s">
        <v>645</v>
      </c>
      <c r="G23" t="s">
        <v>643</v>
      </c>
      <c r="H23" s="4">
        <v>46001</v>
      </c>
      <c r="I23" s="40">
        <v>0.49144675925925924</v>
      </c>
      <c r="J23" t="s">
        <v>626</v>
      </c>
      <c r="M23" t="s">
        <v>627</v>
      </c>
      <c r="N23" t="s">
        <v>628</v>
      </c>
    </row>
    <row r="24" spans="1:14" x14ac:dyDescent="0.25">
      <c r="A24" t="s">
        <v>659</v>
      </c>
      <c r="B24">
        <v>452590</v>
      </c>
      <c r="C24">
        <v>1741</v>
      </c>
      <c r="D24" t="s">
        <v>107</v>
      </c>
      <c r="E24" t="s">
        <v>87</v>
      </c>
      <c r="F24" t="s">
        <v>647</v>
      </c>
      <c r="G24" t="s">
        <v>643</v>
      </c>
      <c r="H24" s="4">
        <v>46001</v>
      </c>
      <c r="I24" s="40">
        <v>0.49145833333333333</v>
      </c>
      <c r="J24" t="s">
        <v>626</v>
      </c>
      <c r="M24" t="s">
        <v>627</v>
      </c>
      <c r="N24" t="s">
        <v>628</v>
      </c>
    </row>
    <row r="25" spans="1:14" x14ac:dyDescent="0.25">
      <c r="A25" t="s">
        <v>660</v>
      </c>
      <c r="B25">
        <v>452861</v>
      </c>
      <c r="C25">
        <v>1741</v>
      </c>
      <c r="D25" t="s">
        <v>620</v>
      </c>
      <c r="E25" t="s">
        <v>87</v>
      </c>
      <c r="F25" t="s">
        <v>624</v>
      </c>
      <c r="G25" t="s">
        <v>625</v>
      </c>
      <c r="H25" s="4">
        <v>46001</v>
      </c>
      <c r="I25" s="40">
        <v>0.50556712962962957</v>
      </c>
      <c r="J25" t="s">
        <v>626</v>
      </c>
      <c r="M25" t="s">
        <v>627</v>
      </c>
      <c r="N25" t="s">
        <v>628</v>
      </c>
    </row>
    <row r="26" spans="1:14" x14ac:dyDescent="0.25">
      <c r="A26" t="s">
        <v>661</v>
      </c>
      <c r="B26">
        <v>452861</v>
      </c>
      <c r="C26">
        <v>1741</v>
      </c>
      <c r="D26" t="s">
        <v>620</v>
      </c>
      <c r="E26" t="s">
        <v>87</v>
      </c>
      <c r="F26" t="s">
        <v>630</v>
      </c>
      <c r="G26" t="s">
        <v>625</v>
      </c>
      <c r="H26" s="4">
        <v>46001</v>
      </c>
      <c r="I26" s="40">
        <v>0.50557870370370372</v>
      </c>
      <c r="J26" t="s">
        <v>626</v>
      </c>
      <c r="M26" t="s">
        <v>627</v>
      </c>
      <c r="N26" t="s">
        <v>628</v>
      </c>
    </row>
    <row r="27" spans="1:14" x14ac:dyDescent="0.25">
      <c r="A27" t="s">
        <v>662</v>
      </c>
      <c r="B27">
        <v>452861</v>
      </c>
      <c r="C27">
        <v>1741</v>
      </c>
      <c r="D27" t="s">
        <v>620</v>
      </c>
      <c r="E27" t="s">
        <v>87</v>
      </c>
      <c r="F27" t="s">
        <v>632</v>
      </c>
      <c r="G27" t="s">
        <v>625</v>
      </c>
      <c r="H27" s="4">
        <v>46001</v>
      </c>
      <c r="I27" s="40">
        <v>0.50559027777777776</v>
      </c>
      <c r="J27" t="s">
        <v>626</v>
      </c>
      <c r="M27" t="s">
        <v>627</v>
      </c>
      <c r="N27" t="s">
        <v>628</v>
      </c>
    </row>
    <row r="28" spans="1:14" x14ac:dyDescent="0.25">
      <c r="A28" t="s">
        <v>663</v>
      </c>
      <c r="B28">
        <v>452861</v>
      </c>
      <c r="C28">
        <v>1741</v>
      </c>
      <c r="D28" t="s">
        <v>620</v>
      </c>
      <c r="E28" t="s">
        <v>87</v>
      </c>
      <c r="F28" t="s">
        <v>634</v>
      </c>
      <c r="G28" t="s">
        <v>625</v>
      </c>
      <c r="H28" s="4">
        <v>46001</v>
      </c>
      <c r="I28" s="40">
        <v>0.50559027777777776</v>
      </c>
      <c r="J28" t="s">
        <v>626</v>
      </c>
      <c r="M28" t="s">
        <v>627</v>
      </c>
      <c r="N28" t="s">
        <v>628</v>
      </c>
    </row>
    <row r="29" spans="1:14" x14ac:dyDescent="0.25">
      <c r="A29" t="s">
        <v>664</v>
      </c>
      <c r="B29">
        <v>452861</v>
      </c>
      <c r="C29">
        <v>1741</v>
      </c>
      <c r="D29" t="s">
        <v>620</v>
      </c>
      <c r="E29" t="s">
        <v>87</v>
      </c>
      <c r="F29" t="s">
        <v>636</v>
      </c>
      <c r="G29" t="s">
        <v>625</v>
      </c>
      <c r="H29" s="4">
        <v>46001</v>
      </c>
      <c r="I29" s="40">
        <v>0.5056018518518518</v>
      </c>
      <c r="J29" t="s">
        <v>626</v>
      </c>
      <c r="M29" t="s">
        <v>627</v>
      </c>
      <c r="N29" t="s">
        <v>628</v>
      </c>
    </row>
    <row r="30" spans="1:14" x14ac:dyDescent="0.25">
      <c r="A30" t="s">
        <v>665</v>
      </c>
      <c r="B30">
        <v>452861</v>
      </c>
      <c r="C30">
        <v>1741</v>
      </c>
      <c r="D30" t="s">
        <v>620</v>
      </c>
      <c r="E30" t="s">
        <v>87</v>
      </c>
      <c r="F30" t="s">
        <v>638</v>
      </c>
      <c r="G30" t="s">
        <v>666</v>
      </c>
      <c r="H30" s="4">
        <v>46001</v>
      </c>
      <c r="I30" s="40">
        <v>0.50561342592592595</v>
      </c>
      <c r="J30" t="s">
        <v>626</v>
      </c>
      <c r="M30" t="s">
        <v>627</v>
      </c>
      <c r="N30" t="s">
        <v>628</v>
      </c>
    </row>
    <row r="31" spans="1:14" x14ac:dyDescent="0.25">
      <c r="A31" t="s">
        <v>667</v>
      </c>
      <c r="B31">
        <v>452861</v>
      </c>
      <c r="C31">
        <v>1741</v>
      </c>
      <c r="D31" t="s">
        <v>620</v>
      </c>
      <c r="E31" t="s">
        <v>87</v>
      </c>
      <c r="F31" t="s">
        <v>642</v>
      </c>
      <c r="G31" t="s">
        <v>643</v>
      </c>
      <c r="H31" s="4">
        <v>46001</v>
      </c>
      <c r="I31" s="40">
        <v>0.50562499999999999</v>
      </c>
      <c r="J31" t="s">
        <v>626</v>
      </c>
      <c r="M31" t="s">
        <v>627</v>
      </c>
      <c r="N31" t="s">
        <v>628</v>
      </c>
    </row>
    <row r="32" spans="1:14" x14ac:dyDescent="0.25">
      <c r="A32" t="s">
        <v>668</v>
      </c>
      <c r="B32">
        <v>452861</v>
      </c>
      <c r="C32">
        <v>1741</v>
      </c>
      <c r="D32" t="s">
        <v>620</v>
      </c>
      <c r="E32" t="s">
        <v>87</v>
      </c>
      <c r="F32" t="s">
        <v>645</v>
      </c>
      <c r="G32" t="s">
        <v>643</v>
      </c>
      <c r="H32" s="4">
        <v>46001</v>
      </c>
      <c r="I32" s="40">
        <v>0.50562499999999999</v>
      </c>
      <c r="J32" t="s">
        <v>626</v>
      </c>
      <c r="M32" t="s">
        <v>627</v>
      </c>
      <c r="N32" t="s">
        <v>628</v>
      </c>
    </row>
    <row r="33" spans="1:14" x14ac:dyDescent="0.25">
      <c r="A33" t="s">
        <v>669</v>
      </c>
      <c r="B33">
        <v>452861</v>
      </c>
      <c r="C33">
        <v>1741</v>
      </c>
      <c r="D33" t="s">
        <v>620</v>
      </c>
      <c r="E33" t="s">
        <v>87</v>
      </c>
      <c r="F33" t="s">
        <v>647</v>
      </c>
      <c r="G33" t="s">
        <v>643</v>
      </c>
      <c r="H33" s="4">
        <v>46001</v>
      </c>
      <c r="I33" s="40">
        <v>0.50563657407407403</v>
      </c>
      <c r="J33" t="s">
        <v>626</v>
      </c>
      <c r="M33" t="s">
        <v>627</v>
      </c>
      <c r="N33" t="s">
        <v>628</v>
      </c>
    </row>
    <row r="34" spans="1:14" x14ac:dyDescent="0.25">
      <c r="A34" t="s">
        <v>670</v>
      </c>
      <c r="B34">
        <v>452366</v>
      </c>
      <c r="C34">
        <v>1741</v>
      </c>
      <c r="D34" t="s">
        <v>69</v>
      </c>
      <c r="E34" t="s">
        <v>11</v>
      </c>
      <c r="F34" t="s">
        <v>624</v>
      </c>
      <c r="G34" t="s">
        <v>625</v>
      </c>
      <c r="H34" s="4">
        <v>46001</v>
      </c>
      <c r="I34" s="40">
        <v>0.51696759259259262</v>
      </c>
      <c r="J34" t="s">
        <v>626</v>
      </c>
      <c r="M34" t="s">
        <v>627</v>
      </c>
      <c r="N34" t="s">
        <v>628</v>
      </c>
    </row>
    <row r="35" spans="1:14" x14ac:dyDescent="0.25">
      <c r="A35" t="s">
        <v>671</v>
      </c>
      <c r="B35">
        <v>452366</v>
      </c>
      <c r="C35">
        <v>1741</v>
      </c>
      <c r="D35" t="s">
        <v>69</v>
      </c>
      <c r="E35" t="s">
        <v>11</v>
      </c>
      <c r="F35" t="s">
        <v>630</v>
      </c>
      <c r="G35" t="s">
        <v>625</v>
      </c>
      <c r="H35" s="4">
        <v>46001</v>
      </c>
      <c r="I35" s="40">
        <v>0.51697916666666666</v>
      </c>
      <c r="J35" t="s">
        <v>626</v>
      </c>
      <c r="M35" t="s">
        <v>627</v>
      </c>
      <c r="N35" t="s">
        <v>628</v>
      </c>
    </row>
    <row r="36" spans="1:14" x14ac:dyDescent="0.25">
      <c r="A36" t="s">
        <v>672</v>
      </c>
      <c r="B36">
        <v>452366</v>
      </c>
      <c r="C36">
        <v>1741</v>
      </c>
      <c r="D36" t="s">
        <v>69</v>
      </c>
      <c r="E36" t="s">
        <v>11</v>
      </c>
      <c r="F36" t="s">
        <v>632</v>
      </c>
      <c r="G36" t="s">
        <v>625</v>
      </c>
      <c r="H36" s="4">
        <v>46001</v>
      </c>
      <c r="I36" s="40">
        <v>0.51697916666666666</v>
      </c>
      <c r="J36" t="s">
        <v>626</v>
      </c>
      <c r="M36" t="s">
        <v>627</v>
      </c>
      <c r="N36" t="s">
        <v>628</v>
      </c>
    </row>
    <row r="37" spans="1:14" x14ac:dyDescent="0.25">
      <c r="A37" t="s">
        <v>673</v>
      </c>
      <c r="B37">
        <v>452366</v>
      </c>
      <c r="C37">
        <v>1741</v>
      </c>
      <c r="D37" t="s">
        <v>69</v>
      </c>
      <c r="E37" t="s">
        <v>11</v>
      </c>
      <c r="F37" t="s">
        <v>634</v>
      </c>
      <c r="G37" t="s">
        <v>625</v>
      </c>
      <c r="H37" s="4">
        <v>46001</v>
      </c>
      <c r="I37" s="40">
        <v>0.5169907407407407</v>
      </c>
      <c r="J37" t="s">
        <v>626</v>
      </c>
      <c r="M37" t="s">
        <v>627</v>
      </c>
      <c r="N37" t="s">
        <v>628</v>
      </c>
    </row>
    <row r="38" spans="1:14" x14ac:dyDescent="0.25">
      <c r="A38" t="s">
        <v>674</v>
      </c>
      <c r="B38">
        <v>452366</v>
      </c>
      <c r="C38">
        <v>1741</v>
      </c>
      <c r="D38" t="s">
        <v>69</v>
      </c>
      <c r="E38" t="s">
        <v>11</v>
      </c>
      <c r="F38" t="s">
        <v>636</v>
      </c>
      <c r="G38" t="s">
        <v>625</v>
      </c>
      <c r="H38" s="4">
        <v>46001</v>
      </c>
      <c r="I38" s="40">
        <v>0.51700231481481485</v>
      </c>
      <c r="J38" t="s">
        <v>626</v>
      </c>
      <c r="M38" t="s">
        <v>627</v>
      </c>
      <c r="N38" t="s">
        <v>628</v>
      </c>
    </row>
    <row r="39" spans="1:14" x14ac:dyDescent="0.25">
      <c r="A39" t="s">
        <v>675</v>
      </c>
      <c r="B39">
        <v>452366</v>
      </c>
      <c r="C39">
        <v>1741</v>
      </c>
      <c r="D39" t="s">
        <v>69</v>
      </c>
      <c r="E39" t="s">
        <v>11</v>
      </c>
      <c r="F39" t="s">
        <v>638</v>
      </c>
      <c r="G39" t="s">
        <v>643</v>
      </c>
      <c r="H39" s="4">
        <v>46001</v>
      </c>
      <c r="I39" s="40">
        <v>0.51701388888888888</v>
      </c>
      <c r="J39" t="s">
        <v>626</v>
      </c>
      <c r="M39" t="s">
        <v>627</v>
      </c>
      <c r="N39" t="s">
        <v>628</v>
      </c>
    </row>
    <row r="40" spans="1:14" x14ac:dyDescent="0.25">
      <c r="A40" t="s">
        <v>676</v>
      </c>
      <c r="B40">
        <v>452366</v>
      </c>
      <c r="C40">
        <v>1741</v>
      </c>
      <c r="D40" t="s">
        <v>69</v>
      </c>
      <c r="E40" t="s">
        <v>11</v>
      </c>
      <c r="F40" t="s">
        <v>642</v>
      </c>
      <c r="G40" t="s">
        <v>643</v>
      </c>
      <c r="H40" s="4">
        <v>46001</v>
      </c>
      <c r="I40" s="40">
        <v>0.51701388888888888</v>
      </c>
      <c r="J40" t="s">
        <v>626</v>
      </c>
      <c r="M40" t="s">
        <v>627</v>
      </c>
      <c r="N40" t="s">
        <v>628</v>
      </c>
    </row>
    <row r="41" spans="1:14" x14ac:dyDescent="0.25">
      <c r="A41" t="s">
        <v>677</v>
      </c>
      <c r="B41">
        <v>452366</v>
      </c>
      <c r="C41">
        <v>1741</v>
      </c>
      <c r="D41" t="s">
        <v>69</v>
      </c>
      <c r="E41" t="s">
        <v>11</v>
      </c>
      <c r="F41" t="s">
        <v>645</v>
      </c>
      <c r="G41" t="s">
        <v>643</v>
      </c>
      <c r="H41" s="4">
        <v>46001</v>
      </c>
      <c r="I41" s="40">
        <v>0.51702546296296292</v>
      </c>
      <c r="J41" t="s">
        <v>626</v>
      </c>
      <c r="M41" t="s">
        <v>627</v>
      </c>
      <c r="N41" t="s">
        <v>628</v>
      </c>
    </row>
    <row r="42" spans="1:14" x14ac:dyDescent="0.25">
      <c r="A42" t="s">
        <v>678</v>
      </c>
      <c r="B42">
        <v>452366</v>
      </c>
      <c r="C42">
        <v>1741</v>
      </c>
      <c r="D42" t="s">
        <v>69</v>
      </c>
      <c r="E42" t="s">
        <v>11</v>
      </c>
      <c r="F42" t="s">
        <v>647</v>
      </c>
      <c r="G42" t="s">
        <v>643</v>
      </c>
      <c r="H42" s="4">
        <v>46001</v>
      </c>
      <c r="I42" s="40">
        <v>0.51703703703703707</v>
      </c>
      <c r="J42" t="s">
        <v>626</v>
      </c>
      <c r="M42" t="s">
        <v>627</v>
      </c>
      <c r="N42" t="s">
        <v>628</v>
      </c>
    </row>
    <row r="43" spans="1:14" x14ac:dyDescent="0.25">
      <c r="A43" t="s">
        <v>695</v>
      </c>
      <c r="B43">
        <v>452861</v>
      </c>
      <c r="C43">
        <v>1741</v>
      </c>
      <c r="D43" t="s">
        <v>620</v>
      </c>
      <c r="E43" t="s">
        <v>11</v>
      </c>
      <c r="F43" t="s">
        <v>638</v>
      </c>
      <c r="G43" t="s">
        <v>625</v>
      </c>
      <c r="H43" s="4">
        <v>46002</v>
      </c>
      <c r="I43" s="40">
        <v>0.52652777777777782</v>
      </c>
      <c r="J43" t="s">
        <v>626</v>
      </c>
      <c r="L43" t="s">
        <v>696</v>
      </c>
      <c r="M43" t="s">
        <v>697</v>
      </c>
      <c r="N43" t="s">
        <v>698</v>
      </c>
    </row>
    <row r="44" spans="1:14" x14ac:dyDescent="0.25">
      <c r="A44" t="s">
        <v>699</v>
      </c>
      <c r="B44">
        <v>452861</v>
      </c>
      <c r="C44">
        <v>1741</v>
      </c>
      <c r="D44" t="s">
        <v>620</v>
      </c>
      <c r="E44" t="s">
        <v>11</v>
      </c>
      <c r="F44" t="s">
        <v>638</v>
      </c>
      <c r="G44" t="s">
        <v>625</v>
      </c>
      <c r="H44" s="4">
        <v>46002</v>
      </c>
      <c r="I44" s="40">
        <v>0.52673611111111107</v>
      </c>
      <c r="J44" t="s">
        <v>626</v>
      </c>
      <c r="L44" t="s">
        <v>700</v>
      </c>
      <c r="M44" t="s">
        <v>697</v>
      </c>
      <c r="N44" t="s">
        <v>698</v>
      </c>
    </row>
    <row r="45" spans="1:14" x14ac:dyDescent="0.25">
      <c r="A45" t="s">
        <v>701</v>
      </c>
      <c r="B45">
        <v>452861</v>
      </c>
      <c r="C45">
        <v>1741</v>
      </c>
      <c r="D45" t="s">
        <v>620</v>
      </c>
      <c r="E45" t="s">
        <v>11</v>
      </c>
      <c r="F45" t="s">
        <v>638</v>
      </c>
      <c r="G45" t="s">
        <v>625</v>
      </c>
      <c r="H45" s="4">
        <v>46002</v>
      </c>
      <c r="I45" s="40">
        <v>0.52689814814814817</v>
      </c>
      <c r="J45" t="s">
        <v>626</v>
      </c>
      <c r="L45" t="s">
        <v>702</v>
      </c>
      <c r="M45" t="s">
        <v>697</v>
      </c>
      <c r="N45" t="s">
        <v>698</v>
      </c>
    </row>
    <row r="46" spans="1:14" x14ac:dyDescent="0.25">
      <c r="A46" t="s">
        <v>709</v>
      </c>
      <c r="B46">
        <v>452861</v>
      </c>
      <c r="C46">
        <v>1741</v>
      </c>
      <c r="D46" t="s">
        <v>620</v>
      </c>
      <c r="E46" t="s">
        <v>11</v>
      </c>
      <c r="F46" t="s">
        <v>638</v>
      </c>
      <c r="G46" t="s">
        <v>625</v>
      </c>
      <c r="H46" s="4">
        <v>46002</v>
      </c>
      <c r="I46" s="40">
        <v>0.55287037037037035</v>
      </c>
      <c r="J46" t="s">
        <v>626</v>
      </c>
      <c r="L46" t="s">
        <v>710</v>
      </c>
      <c r="M46" t="s">
        <v>697</v>
      </c>
      <c r="N46" t="s">
        <v>698</v>
      </c>
    </row>
    <row r="47" spans="1:14" x14ac:dyDescent="0.25">
      <c r="A47" t="s">
        <v>711</v>
      </c>
      <c r="B47">
        <v>452861</v>
      </c>
      <c r="C47">
        <v>1741</v>
      </c>
      <c r="D47" t="s">
        <v>620</v>
      </c>
      <c r="E47" t="s">
        <v>11</v>
      </c>
      <c r="F47" t="s">
        <v>638</v>
      </c>
      <c r="G47" t="s">
        <v>625</v>
      </c>
      <c r="H47" s="4">
        <v>46002</v>
      </c>
      <c r="I47" s="40">
        <v>0.55321759259259262</v>
      </c>
      <c r="J47" t="s">
        <v>626</v>
      </c>
      <c r="L47" t="s">
        <v>700</v>
      </c>
      <c r="M47" t="s">
        <v>697</v>
      </c>
      <c r="N47" t="s">
        <v>698</v>
      </c>
    </row>
    <row r="48" spans="1:14" x14ac:dyDescent="0.25">
      <c r="A48" t="s">
        <v>712</v>
      </c>
      <c r="B48">
        <v>452861</v>
      </c>
      <c r="C48">
        <v>1741</v>
      </c>
      <c r="D48" t="s">
        <v>620</v>
      </c>
      <c r="E48" t="s">
        <v>11</v>
      </c>
      <c r="F48" t="s">
        <v>638</v>
      </c>
      <c r="G48" t="s">
        <v>625</v>
      </c>
      <c r="H48" s="4">
        <v>46002</v>
      </c>
      <c r="I48" s="40">
        <v>0.55339120370370365</v>
      </c>
      <c r="J48" t="s">
        <v>626</v>
      </c>
      <c r="L48" t="s">
        <v>702</v>
      </c>
      <c r="M48" t="s">
        <v>697</v>
      </c>
      <c r="N48" t="s">
        <v>698</v>
      </c>
    </row>
    <row r="49" spans="1:14" x14ac:dyDescent="0.25">
      <c r="A49" t="s">
        <v>713</v>
      </c>
      <c r="B49">
        <v>452861</v>
      </c>
      <c r="C49">
        <v>1741</v>
      </c>
      <c r="D49" t="s">
        <v>620</v>
      </c>
      <c r="E49" t="s">
        <v>87</v>
      </c>
      <c r="F49" t="s">
        <v>624</v>
      </c>
      <c r="G49" t="s">
        <v>625</v>
      </c>
      <c r="H49" s="4">
        <v>46002</v>
      </c>
      <c r="I49" s="40">
        <v>0.5593055555555555</v>
      </c>
      <c r="J49" t="s">
        <v>626</v>
      </c>
      <c r="M49" t="s">
        <v>627</v>
      </c>
      <c r="N49" t="s">
        <v>628</v>
      </c>
    </row>
    <row r="50" spans="1:14" x14ac:dyDescent="0.25">
      <c r="A50" t="s">
        <v>714</v>
      </c>
      <c r="B50">
        <v>452861</v>
      </c>
      <c r="C50">
        <v>1741</v>
      </c>
      <c r="D50" t="s">
        <v>620</v>
      </c>
      <c r="E50" t="s">
        <v>87</v>
      </c>
      <c r="F50" t="s">
        <v>630</v>
      </c>
      <c r="G50" t="s">
        <v>625</v>
      </c>
      <c r="H50" s="4">
        <v>46002</v>
      </c>
      <c r="I50" s="40">
        <v>0.5593055555555555</v>
      </c>
      <c r="J50" t="s">
        <v>626</v>
      </c>
      <c r="M50" t="s">
        <v>627</v>
      </c>
      <c r="N50" t="s">
        <v>628</v>
      </c>
    </row>
    <row r="51" spans="1:14" x14ac:dyDescent="0.25">
      <c r="A51" t="s">
        <v>715</v>
      </c>
      <c r="B51">
        <v>452861</v>
      </c>
      <c r="C51">
        <v>1741</v>
      </c>
      <c r="D51" t="s">
        <v>620</v>
      </c>
      <c r="E51" t="s">
        <v>87</v>
      </c>
      <c r="F51" t="s">
        <v>632</v>
      </c>
      <c r="G51" t="s">
        <v>625</v>
      </c>
      <c r="H51" s="4">
        <v>46002</v>
      </c>
      <c r="I51" s="40">
        <v>0.55931712962962965</v>
      </c>
      <c r="J51" t="s">
        <v>626</v>
      </c>
      <c r="M51" t="s">
        <v>627</v>
      </c>
      <c r="N51" t="s">
        <v>628</v>
      </c>
    </row>
    <row r="52" spans="1:14" x14ac:dyDescent="0.25">
      <c r="A52" t="s">
        <v>716</v>
      </c>
      <c r="B52">
        <v>452861</v>
      </c>
      <c r="C52">
        <v>1741</v>
      </c>
      <c r="D52" t="s">
        <v>620</v>
      </c>
      <c r="E52" t="s">
        <v>87</v>
      </c>
      <c r="F52" t="s">
        <v>634</v>
      </c>
      <c r="G52" t="s">
        <v>625</v>
      </c>
      <c r="H52" s="4">
        <v>46002</v>
      </c>
      <c r="I52" s="40">
        <v>0.55932870370370369</v>
      </c>
      <c r="J52" t="s">
        <v>626</v>
      </c>
      <c r="M52" t="s">
        <v>627</v>
      </c>
      <c r="N52" t="s">
        <v>628</v>
      </c>
    </row>
    <row r="53" spans="1:14" x14ac:dyDescent="0.25">
      <c r="A53" t="s">
        <v>717</v>
      </c>
      <c r="B53">
        <v>452861</v>
      </c>
      <c r="C53">
        <v>1741</v>
      </c>
      <c r="D53" t="s">
        <v>620</v>
      </c>
      <c r="E53" t="s">
        <v>87</v>
      </c>
      <c r="F53" t="s">
        <v>636</v>
      </c>
      <c r="G53" t="s">
        <v>625</v>
      </c>
      <c r="H53" s="4">
        <v>46002</v>
      </c>
      <c r="I53" s="40">
        <v>0.55934027777777773</v>
      </c>
      <c r="J53" t="s">
        <v>626</v>
      </c>
      <c r="M53" t="s">
        <v>627</v>
      </c>
      <c r="N53" t="s">
        <v>628</v>
      </c>
    </row>
    <row r="54" spans="1:14" x14ac:dyDescent="0.25">
      <c r="A54" t="s">
        <v>718</v>
      </c>
      <c r="B54">
        <v>452861</v>
      </c>
      <c r="C54">
        <v>1741</v>
      </c>
      <c r="D54" t="s">
        <v>620</v>
      </c>
      <c r="E54" t="s">
        <v>87</v>
      </c>
      <c r="F54" t="s">
        <v>638</v>
      </c>
      <c r="G54" t="s">
        <v>625</v>
      </c>
      <c r="H54" s="4">
        <v>46002</v>
      </c>
      <c r="I54" s="40">
        <v>0.55934027777777773</v>
      </c>
      <c r="J54" t="s">
        <v>626</v>
      </c>
      <c r="L54" t="s">
        <v>719</v>
      </c>
      <c r="M54" t="s">
        <v>627</v>
      </c>
      <c r="N54" t="s">
        <v>628</v>
      </c>
    </row>
    <row r="55" spans="1:14" x14ac:dyDescent="0.25">
      <c r="A55" t="s">
        <v>720</v>
      </c>
      <c r="B55">
        <v>452861</v>
      </c>
      <c r="C55">
        <v>1741</v>
      </c>
      <c r="D55" t="s">
        <v>620</v>
      </c>
      <c r="E55" t="s">
        <v>87</v>
      </c>
      <c r="F55" t="s">
        <v>642</v>
      </c>
      <c r="G55" t="s">
        <v>643</v>
      </c>
      <c r="H55" s="4">
        <v>46002</v>
      </c>
      <c r="I55" s="40">
        <v>0.55935185185185188</v>
      </c>
      <c r="J55" t="s">
        <v>626</v>
      </c>
      <c r="M55" t="s">
        <v>627</v>
      </c>
      <c r="N55" t="s">
        <v>628</v>
      </c>
    </row>
    <row r="56" spans="1:14" x14ac:dyDescent="0.25">
      <c r="A56" t="s">
        <v>721</v>
      </c>
      <c r="B56">
        <v>452861</v>
      </c>
      <c r="C56">
        <v>1741</v>
      </c>
      <c r="D56" t="s">
        <v>620</v>
      </c>
      <c r="E56" t="s">
        <v>87</v>
      </c>
      <c r="F56" t="s">
        <v>645</v>
      </c>
      <c r="G56" t="s">
        <v>643</v>
      </c>
      <c r="H56" s="4">
        <v>46002</v>
      </c>
      <c r="I56" s="40">
        <v>0.55936342592592592</v>
      </c>
      <c r="J56" t="s">
        <v>626</v>
      </c>
      <c r="M56" t="s">
        <v>627</v>
      </c>
      <c r="N56" t="s">
        <v>628</v>
      </c>
    </row>
    <row r="57" spans="1:14" x14ac:dyDescent="0.25">
      <c r="A57" t="s">
        <v>722</v>
      </c>
      <c r="B57">
        <v>452861</v>
      </c>
      <c r="C57">
        <v>1741</v>
      </c>
      <c r="D57" t="s">
        <v>620</v>
      </c>
      <c r="E57" t="s">
        <v>87</v>
      </c>
      <c r="F57" t="s">
        <v>647</v>
      </c>
      <c r="G57" t="s">
        <v>643</v>
      </c>
      <c r="H57" s="4">
        <v>46002</v>
      </c>
      <c r="I57" s="40">
        <v>0.55937499999999996</v>
      </c>
      <c r="J57" t="s">
        <v>626</v>
      </c>
      <c r="M57" t="s">
        <v>627</v>
      </c>
      <c r="N57" t="s">
        <v>628</v>
      </c>
    </row>
    <row r="58" spans="1:14" x14ac:dyDescent="0.25">
      <c r="A58" t="s">
        <v>729</v>
      </c>
      <c r="B58">
        <v>452366</v>
      </c>
      <c r="C58">
        <v>1741</v>
      </c>
      <c r="D58" t="s">
        <v>69</v>
      </c>
      <c r="E58" t="s">
        <v>11</v>
      </c>
      <c r="F58" t="s">
        <v>638</v>
      </c>
      <c r="G58" t="s">
        <v>625</v>
      </c>
      <c r="H58" s="4">
        <v>46002</v>
      </c>
      <c r="I58" s="40">
        <v>0.56528935185185181</v>
      </c>
      <c r="J58" t="s">
        <v>626</v>
      </c>
      <c r="L58" t="s">
        <v>730</v>
      </c>
      <c r="M58" t="s">
        <v>697</v>
      </c>
      <c r="N58" t="s">
        <v>698</v>
      </c>
    </row>
    <row r="59" spans="1:14" x14ac:dyDescent="0.25">
      <c r="A59" t="s">
        <v>731</v>
      </c>
      <c r="B59">
        <v>452366</v>
      </c>
      <c r="C59">
        <v>1741</v>
      </c>
      <c r="D59" t="s">
        <v>69</v>
      </c>
      <c r="E59" t="s">
        <v>11</v>
      </c>
      <c r="F59" t="s">
        <v>638</v>
      </c>
      <c r="G59" t="s">
        <v>625</v>
      </c>
      <c r="H59" s="4">
        <v>46002</v>
      </c>
      <c r="I59" s="40">
        <v>0.56550925925925921</v>
      </c>
      <c r="J59" t="s">
        <v>626</v>
      </c>
      <c r="L59" t="s">
        <v>732</v>
      </c>
      <c r="M59" t="s">
        <v>697</v>
      </c>
      <c r="N59" t="s">
        <v>698</v>
      </c>
    </row>
    <row r="60" spans="1:14" x14ac:dyDescent="0.25">
      <c r="A60" t="s">
        <v>733</v>
      </c>
      <c r="B60">
        <v>452366</v>
      </c>
      <c r="C60">
        <v>1741</v>
      </c>
      <c r="D60" t="s">
        <v>69</v>
      </c>
      <c r="E60" t="s">
        <v>11</v>
      </c>
      <c r="F60" t="s">
        <v>624</v>
      </c>
      <c r="G60" t="s">
        <v>625</v>
      </c>
      <c r="H60" s="4">
        <v>46002</v>
      </c>
      <c r="I60" s="40">
        <v>0.56622685185185184</v>
      </c>
      <c r="J60" t="s">
        <v>626</v>
      </c>
      <c r="M60" t="s">
        <v>627</v>
      </c>
      <c r="N60" t="s">
        <v>628</v>
      </c>
    </row>
    <row r="61" spans="1:14" x14ac:dyDescent="0.25">
      <c r="A61" t="s">
        <v>734</v>
      </c>
      <c r="B61">
        <v>452366</v>
      </c>
      <c r="C61">
        <v>1741</v>
      </c>
      <c r="D61" t="s">
        <v>69</v>
      </c>
      <c r="E61" t="s">
        <v>11</v>
      </c>
      <c r="F61" t="s">
        <v>630</v>
      </c>
      <c r="G61" t="s">
        <v>625</v>
      </c>
      <c r="H61" s="4">
        <v>46002</v>
      </c>
      <c r="I61" s="40">
        <v>0.56623842592592588</v>
      </c>
      <c r="J61" t="s">
        <v>626</v>
      </c>
      <c r="M61" t="s">
        <v>627</v>
      </c>
      <c r="N61" t="s">
        <v>628</v>
      </c>
    </row>
    <row r="62" spans="1:14" x14ac:dyDescent="0.25">
      <c r="A62" t="s">
        <v>735</v>
      </c>
      <c r="B62">
        <v>452366</v>
      </c>
      <c r="C62">
        <v>1741</v>
      </c>
      <c r="D62" t="s">
        <v>69</v>
      </c>
      <c r="E62" t="s">
        <v>11</v>
      </c>
      <c r="F62" t="s">
        <v>632</v>
      </c>
      <c r="G62" t="s">
        <v>625</v>
      </c>
      <c r="H62" s="4">
        <v>46002</v>
      </c>
      <c r="I62" s="40">
        <v>0.56625000000000003</v>
      </c>
      <c r="J62" t="s">
        <v>626</v>
      </c>
      <c r="M62" t="s">
        <v>627</v>
      </c>
      <c r="N62" t="s">
        <v>628</v>
      </c>
    </row>
    <row r="63" spans="1:14" x14ac:dyDescent="0.25">
      <c r="A63" t="s">
        <v>736</v>
      </c>
      <c r="B63">
        <v>452366</v>
      </c>
      <c r="C63">
        <v>1741</v>
      </c>
      <c r="D63" t="s">
        <v>69</v>
      </c>
      <c r="E63" t="s">
        <v>11</v>
      </c>
      <c r="F63" t="s">
        <v>634</v>
      </c>
      <c r="G63" t="s">
        <v>625</v>
      </c>
      <c r="H63" s="4">
        <v>46002</v>
      </c>
      <c r="I63" s="40">
        <v>0.56626157407407407</v>
      </c>
      <c r="J63" t="s">
        <v>626</v>
      </c>
      <c r="L63" t="s">
        <v>737</v>
      </c>
      <c r="M63" t="s">
        <v>627</v>
      </c>
      <c r="N63" t="s">
        <v>628</v>
      </c>
    </row>
    <row r="64" spans="1:14" x14ac:dyDescent="0.25">
      <c r="A64" t="s">
        <v>738</v>
      </c>
      <c r="B64">
        <v>452366</v>
      </c>
      <c r="C64">
        <v>1741</v>
      </c>
      <c r="D64" t="s">
        <v>69</v>
      </c>
      <c r="E64" t="s">
        <v>11</v>
      </c>
      <c r="F64" t="s">
        <v>636</v>
      </c>
      <c r="G64" t="s">
        <v>625</v>
      </c>
      <c r="H64" s="4">
        <v>46002</v>
      </c>
      <c r="I64" s="40">
        <v>0.56626157407407407</v>
      </c>
      <c r="J64" t="s">
        <v>626</v>
      </c>
      <c r="M64" t="s">
        <v>627</v>
      </c>
      <c r="N64" t="s">
        <v>628</v>
      </c>
    </row>
    <row r="65" spans="1:14" x14ac:dyDescent="0.25">
      <c r="A65" t="s">
        <v>739</v>
      </c>
      <c r="B65">
        <v>452366</v>
      </c>
      <c r="C65">
        <v>1741</v>
      </c>
      <c r="D65" t="s">
        <v>69</v>
      </c>
      <c r="E65" t="s">
        <v>11</v>
      </c>
      <c r="F65" t="s">
        <v>638</v>
      </c>
      <c r="G65" t="s">
        <v>625</v>
      </c>
      <c r="H65" s="4">
        <v>46002</v>
      </c>
      <c r="I65" s="40">
        <v>0.56627314814814811</v>
      </c>
      <c r="J65" t="s">
        <v>626</v>
      </c>
      <c r="L65" t="s">
        <v>740</v>
      </c>
      <c r="M65" t="s">
        <v>627</v>
      </c>
      <c r="N65" t="s">
        <v>628</v>
      </c>
    </row>
    <row r="66" spans="1:14" x14ac:dyDescent="0.25">
      <c r="A66" t="s">
        <v>741</v>
      </c>
      <c r="B66">
        <v>452366</v>
      </c>
      <c r="C66">
        <v>1741</v>
      </c>
      <c r="D66" t="s">
        <v>69</v>
      </c>
      <c r="E66" t="s">
        <v>11</v>
      </c>
      <c r="F66" t="s">
        <v>642</v>
      </c>
      <c r="G66" t="s">
        <v>625</v>
      </c>
      <c r="H66" s="4">
        <v>46002</v>
      </c>
      <c r="I66" s="40">
        <v>0.56628472222222226</v>
      </c>
      <c r="J66" t="s">
        <v>626</v>
      </c>
      <c r="M66" t="s">
        <v>627</v>
      </c>
      <c r="N66" t="s">
        <v>628</v>
      </c>
    </row>
    <row r="67" spans="1:14" x14ac:dyDescent="0.25">
      <c r="A67" t="s">
        <v>742</v>
      </c>
      <c r="B67">
        <v>452366</v>
      </c>
      <c r="C67">
        <v>1741</v>
      </c>
      <c r="D67" t="s">
        <v>69</v>
      </c>
      <c r="E67" t="s">
        <v>11</v>
      </c>
      <c r="F67" t="s">
        <v>645</v>
      </c>
      <c r="G67" t="s">
        <v>643</v>
      </c>
      <c r="H67" s="4">
        <v>46002</v>
      </c>
      <c r="I67" s="40">
        <v>0.5662962962962963</v>
      </c>
      <c r="J67" t="s">
        <v>626</v>
      </c>
      <c r="M67" t="s">
        <v>627</v>
      </c>
      <c r="N67" t="s">
        <v>628</v>
      </c>
    </row>
    <row r="68" spans="1:14" x14ac:dyDescent="0.25">
      <c r="A68" t="s">
        <v>743</v>
      </c>
      <c r="B68">
        <v>452366</v>
      </c>
      <c r="C68">
        <v>1741</v>
      </c>
      <c r="D68" t="s">
        <v>69</v>
      </c>
      <c r="E68" t="s">
        <v>11</v>
      </c>
      <c r="F68" t="s">
        <v>647</v>
      </c>
      <c r="G68" t="s">
        <v>643</v>
      </c>
      <c r="H68" s="4">
        <v>46002</v>
      </c>
      <c r="I68" s="40">
        <v>0.5662962962962963</v>
      </c>
      <c r="J68" t="s">
        <v>626</v>
      </c>
      <c r="M68" t="s">
        <v>627</v>
      </c>
      <c r="N68" t="s">
        <v>628</v>
      </c>
    </row>
    <row r="69" spans="1:14" x14ac:dyDescent="0.25">
      <c r="A69" t="s">
        <v>744</v>
      </c>
      <c r="B69">
        <v>452366</v>
      </c>
      <c r="C69">
        <v>1741</v>
      </c>
      <c r="D69" t="s">
        <v>69</v>
      </c>
      <c r="E69" t="s">
        <v>11</v>
      </c>
      <c r="F69" t="s">
        <v>638</v>
      </c>
      <c r="G69" t="s">
        <v>625</v>
      </c>
      <c r="H69" s="4">
        <v>46002</v>
      </c>
      <c r="I69" s="40">
        <v>0.58250000000000002</v>
      </c>
      <c r="J69" t="s">
        <v>626</v>
      </c>
      <c r="L69" t="s">
        <v>730</v>
      </c>
      <c r="M69" t="s">
        <v>697</v>
      </c>
      <c r="N69" t="s">
        <v>698</v>
      </c>
    </row>
    <row r="70" spans="1:14" x14ac:dyDescent="0.25">
      <c r="A70" t="s">
        <v>745</v>
      </c>
      <c r="B70">
        <v>452366</v>
      </c>
      <c r="C70">
        <v>1741</v>
      </c>
      <c r="D70" t="s">
        <v>69</v>
      </c>
      <c r="E70" t="s">
        <v>11</v>
      </c>
      <c r="F70" t="s">
        <v>638</v>
      </c>
      <c r="G70" t="s">
        <v>625</v>
      </c>
      <c r="H70" s="4">
        <v>46002</v>
      </c>
      <c r="I70" s="40">
        <v>0.58269675925925923</v>
      </c>
      <c r="J70" t="s">
        <v>626</v>
      </c>
      <c r="L70" t="s">
        <v>732</v>
      </c>
      <c r="M70" t="s">
        <v>697</v>
      </c>
      <c r="N70" t="s">
        <v>698</v>
      </c>
    </row>
    <row r="71" spans="1:14" x14ac:dyDescent="0.25">
      <c r="A71" t="s">
        <v>746</v>
      </c>
      <c r="B71">
        <v>452366</v>
      </c>
      <c r="C71">
        <v>1741</v>
      </c>
      <c r="D71" t="s">
        <v>69</v>
      </c>
      <c r="E71" t="s">
        <v>11</v>
      </c>
      <c r="F71" t="s">
        <v>624</v>
      </c>
      <c r="G71" t="s">
        <v>625</v>
      </c>
      <c r="H71" s="4">
        <v>46002</v>
      </c>
      <c r="I71" s="40">
        <v>0.58769675925925924</v>
      </c>
      <c r="J71" t="s">
        <v>626</v>
      </c>
      <c r="M71" t="s">
        <v>627</v>
      </c>
      <c r="N71" t="s">
        <v>628</v>
      </c>
    </row>
    <row r="72" spans="1:14" x14ac:dyDescent="0.25">
      <c r="A72" t="s">
        <v>747</v>
      </c>
      <c r="B72">
        <v>452366</v>
      </c>
      <c r="C72">
        <v>1741</v>
      </c>
      <c r="D72" t="s">
        <v>69</v>
      </c>
      <c r="E72" t="s">
        <v>11</v>
      </c>
      <c r="F72" t="s">
        <v>630</v>
      </c>
      <c r="G72" t="s">
        <v>625</v>
      </c>
      <c r="H72" s="4">
        <v>46002</v>
      </c>
      <c r="I72" s="40">
        <v>0.58769675925925924</v>
      </c>
      <c r="J72" t="s">
        <v>626</v>
      </c>
      <c r="M72" t="s">
        <v>627</v>
      </c>
      <c r="N72" t="s">
        <v>628</v>
      </c>
    </row>
    <row r="73" spans="1:14" x14ac:dyDescent="0.25">
      <c r="A73" t="s">
        <v>748</v>
      </c>
      <c r="B73">
        <v>452366</v>
      </c>
      <c r="C73">
        <v>1741</v>
      </c>
      <c r="D73" t="s">
        <v>69</v>
      </c>
      <c r="E73" t="s">
        <v>11</v>
      </c>
      <c r="F73" t="s">
        <v>632</v>
      </c>
      <c r="G73" t="s">
        <v>625</v>
      </c>
      <c r="H73" s="4">
        <v>46002</v>
      </c>
      <c r="I73" s="40">
        <v>0.58770833333333339</v>
      </c>
      <c r="J73" t="s">
        <v>626</v>
      </c>
      <c r="M73" t="s">
        <v>627</v>
      </c>
      <c r="N73" t="s">
        <v>628</v>
      </c>
    </row>
    <row r="74" spans="1:14" x14ac:dyDescent="0.25">
      <c r="A74" t="s">
        <v>749</v>
      </c>
      <c r="B74">
        <v>452366</v>
      </c>
      <c r="C74">
        <v>1741</v>
      </c>
      <c r="D74" t="s">
        <v>69</v>
      </c>
      <c r="E74" t="s">
        <v>11</v>
      </c>
      <c r="F74" t="s">
        <v>634</v>
      </c>
      <c r="G74" t="s">
        <v>625</v>
      </c>
      <c r="H74" s="4">
        <v>46002</v>
      </c>
      <c r="I74" s="40">
        <v>0.58771990740740743</v>
      </c>
      <c r="J74" t="s">
        <v>626</v>
      </c>
      <c r="M74" t="s">
        <v>627</v>
      </c>
      <c r="N74" t="s">
        <v>628</v>
      </c>
    </row>
    <row r="75" spans="1:14" x14ac:dyDescent="0.25">
      <c r="A75" t="s">
        <v>750</v>
      </c>
      <c r="B75">
        <v>452366</v>
      </c>
      <c r="C75">
        <v>1741</v>
      </c>
      <c r="D75" t="s">
        <v>69</v>
      </c>
      <c r="E75" t="s">
        <v>11</v>
      </c>
      <c r="F75" t="s">
        <v>636</v>
      </c>
      <c r="G75" t="s">
        <v>625</v>
      </c>
      <c r="H75" s="4">
        <v>46002</v>
      </c>
      <c r="I75" s="40">
        <v>0.58773148148148147</v>
      </c>
      <c r="J75" t="s">
        <v>626</v>
      </c>
      <c r="M75" t="s">
        <v>627</v>
      </c>
      <c r="N75" t="s">
        <v>628</v>
      </c>
    </row>
    <row r="76" spans="1:14" x14ac:dyDescent="0.25">
      <c r="A76" t="s">
        <v>751</v>
      </c>
      <c r="B76">
        <v>452366</v>
      </c>
      <c r="C76">
        <v>1741</v>
      </c>
      <c r="D76" t="s">
        <v>69</v>
      </c>
      <c r="E76" t="s">
        <v>11</v>
      </c>
      <c r="F76" t="s">
        <v>638</v>
      </c>
      <c r="G76" t="s">
        <v>625</v>
      </c>
      <c r="H76" s="4">
        <v>46002</v>
      </c>
      <c r="I76" s="40">
        <v>0.58773148148148147</v>
      </c>
      <c r="J76" t="s">
        <v>626</v>
      </c>
      <c r="L76" t="s">
        <v>740</v>
      </c>
      <c r="M76" t="s">
        <v>627</v>
      </c>
      <c r="N76" t="s">
        <v>628</v>
      </c>
    </row>
    <row r="77" spans="1:14" x14ac:dyDescent="0.25">
      <c r="A77" t="s">
        <v>752</v>
      </c>
      <c r="B77">
        <v>452366</v>
      </c>
      <c r="C77">
        <v>1741</v>
      </c>
      <c r="D77" t="s">
        <v>69</v>
      </c>
      <c r="E77" t="s">
        <v>11</v>
      </c>
      <c r="F77" t="s">
        <v>642</v>
      </c>
      <c r="G77" t="s">
        <v>625</v>
      </c>
      <c r="H77" s="4">
        <v>46002</v>
      </c>
      <c r="I77" s="40">
        <v>0.5877430555555555</v>
      </c>
      <c r="J77" t="s">
        <v>626</v>
      </c>
      <c r="M77" t="s">
        <v>627</v>
      </c>
      <c r="N77" t="s">
        <v>628</v>
      </c>
    </row>
    <row r="78" spans="1:14" x14ac:dyDescent="0.25">
      <c r="A78" t="s">
        <v>753</v>
      </c>
      <c r="B78">
        <v>452366</v>
      </c>
      <c r="C78">
        <v>1741</v>
      </c>
      <c r="D78" t="s">
        <v>69</v>
      </c>
      <c r="E78" t="s">
        <v>11</v>
      </c>
      <c r="F78" t="s">
        <v>645</v>
      </c>
      <c r="G78" t="s">
        <v>643</v>
      </c>
      <c r="H78" s="4">
        <v>46002</v>
      </c>
      <c r="I78" s="40">
        <v>0.58775462962962965</v>
      </c>
      <c r="J78" t="s">
        <v>626</v>
      </c>
      <c r="M78" t="s">
        <v>627</v>
      </c>
      <c r="N78" t="s">
        <v>628</v>
      </c>
    </row>
    <row r="79" spans="1:14" x14ac:dyDescent="0.25">
      <c r="A79" t="s">
        <v>754</v>
      </c>
      <c r="B79">
        <v>452366</v>
      </c>
      <c r="C79">
        <v>1741</v>
      </c>
      <c r="D79" t="s">
        <v>69</v>
      </c>
      <c r="E79" t="s">
        <v>11</v>
      </c>
      <c r="F79" t="s">
        <v>647</v>
      </c>
      <c r="G79" t="s">
        <v>643</v>
      </c>
      <c r="H79" s="4">
        <v>46002</v>
      </c>
      <c r="I79" s="40">
        <v>0.58776620370370369</v>
      </c>
      <c r="J79" t="s">
        <v>626</v>
      </c>
      <c r="M79" t="s">
        <v>627</v>
      </c>
      <c r="N79" t="s">
        <v>628</v>
      </c>
    </row>
    <row r="80" spans="1:14" x14ac:dyDescent="0.25">
      <c r="A80" t="s">
        <v>755</v>
      </c>
      <c r="B80">
        <v>452590</v>
      </c>
      <c r="C80">
        <v>1741</v>
      </c>
      <c r="D80" t="s">
        <v>107</v>
      </c>
      <c r="E80" t="s">
        <v>87</v>
      </c>
      <c r="F80" t="s">
        <v>624</v>
      </c>
      <c r="G80" t="s">
        <v>625</v>
      </c>
      <c r="H80" s="4">
        <v>46002</v>
      </c>
      <c r="I80" s="40">
        <v>0.62886574074074075</v>
      </c>
      <c r="J80" t="s">
        <v>626</v>
      </c>
      <c r="M80" t="s">
        <v>627</v>
      </c>
      <c r="N80" t="s">
        <v>628</v>
      </c>
    </row>
    <row r="81" spans="1:14" x14ac:dyDescent="0.25">
      <c r="A81" t="s">
        <v>756</v>
      </c>
      <c r="B81">
        <v>452590</v>
      </c>
      <c r="C81">
        <v>1741</v>
      </c>
      <c r="D81" t="s">
        <v>107</v>
      </c>
      <c r="E81" t="s">
        <v>87</v>
      </c>
      <c r="F81" t="s">
        <v>630</v>
      </c>
      <c r="G81" t="s">
        <v>625</v>
      </c>
      <c r="H81" s="4">
        <v>46002</v>
      </c>
      <c r="I81" s="40">
        <v>0.62887731481481479</v>
      </c>
      <c r="J81" t="s">
        <v>626</v>
      </c>
      <c r="M81" t="s">
        <v>627</v>
      </c>
      <c r="N81" t="s">
        <v>628</v>
      </c>
    </row>
    <row r="82" spans="1:14" x14ac:dyDescent="0.25">
      <c r="A82" t="s">
        <v>757</v>
      </c>
      <c r="B82">
        <v>452590</v>
      </c>
      <c r="C82">
        <v>1741</v>
      </c>
      <c r="D82" t="s">
        <v>107</v>
      </c>
      <c r="E82" t="s">
        <v>87</v>
      </c>
      <c r="F82" t="s">
        <v>632</v>
      </c>
      <c r="G82" t="s">
        <v>625</v>
      </c>
      <c r="H82" s="4">
        <v>46002</v>
      </c>
      <c r="I82" s="40">
        <v>0.62887731481481479</v>
      </c>
      <c r="J82" t="s">
        <v>626</v>
      </c>
      <c r="M82" t="s">
        <v>627</v>
      </c>
      <c r="N82" t="s">
        <v>628</v>
      </c>
    </row>
    <row r="83" spans="1:14" x14ac:dyDescent="0.25">
      <c r="A83" t="s">
        <v>758</v>
      </c>
      <c r="B83">
        <v>452590</v>
      </c>
      <c r="C83">
        <v>1741</v>
      </c>
      <c r="D83" t="s">
        <v>107</v>
      </c>
      <c r="E83" t="s">
        <v>87</v>
      </c>
      <c r="F83" t="s">
        <v>634</v>
      </c>
      <c r="G83" t="s">
        <v>625</v>
      </c>
      <c r="H83" s="4">
        <v>46002</v>
      </c>
      <c r="I83" s="40">
        <v>0.62888888888888894</v>
      </c>
      <c r="J83" t="s">
        <v>626</v>
      </c>
      <c r="M83" t="s">
        <v>627</v>
      </c>
      <c r="N83" t="s">
        <v>628</v>
      </c>
    </row>
    <row r="84" spans="1:14" x14ac:dyDescent="0.25">
      <c r="A84" t="s">
        <v>759</v>
      </c>
      <c r="B84">
        <v>452590</v>
      </c>
      <c r="C84">
        <v>1741</v>
      </c>
      <c r="D84" t="s">
        <v>107</v>
      </c>
      <c r="E84" t="s">
        <v>87</v>
      </c>
      <c r="F84" t="s">
        <v>636</v>
      </c>
      <c r="G84" t="s">
        <v>625</v>
      </c>
      <c r="H84" s="4">
        <v>46002</v>
      </c>
      <c r="I84" s="40">
        <v>0.62890046296296298</v>
      </c>
      <c r="J84" t="s">
        <v>626</v>
      </c>
      <c r="M84" t="s">
        <v>627</v>
      </c>
      <c r="N84" t="s">
        <v>628</v>
      </c>
    </row>
    <row r="85" spans="1:14" x14ac:dyDescent="0.25">
      <c r="A85" t="s">
        <v>760</v>
      </c>
      <c r="B85">
        <v>452590</v>
      </c>
      <c r="C85">
        <v>1741</v>
      </c>
      <c r="D85" t="s">
        <v>107</v>
      </c>
      <c r="E85" t="s">
        <v>87</v>
      </c>
      <c r="F85" t="s">
        <v>761</v>
      </c>
      <c r="G85" t="s">
        <v>639</v>
      </c>
      <c r="H85" s="4">
        <v>46002</v>
      </c>
      <c r="I85" s="40">
        <v>0.62891203703703702</v>
      </c>
      <c r="J85" t="s">
        <v>626</v>
      </c>
      <c r="M85" t="s">
        <v>627</v>
      </c>
      <c r="N85" t="s">
        <v>628</v>
      </c>
    </row>
    <row r="86" spans="1:14" x14ac:dyDescent="0.25">
      <c r="A86" t="s">
        <v>762</v>
      </c>
      <c r="B86">
        <v>452590</v>
      </c>
      <c r="C86">
        <v>1741</v>
      </c>
      <c r="D86" t="s">
        <v>107</v>
      </c>
      <c r="E86" t="s">
        <v>87</v>
      </c>
      <c r="F86" t="s">
        <v>642</v>
      </c>
      <c r="G86" t="s">
        <v>643</v>
      </c>
      <c r="H86" s="4">
        <v>46002</v>
      </c>
      <c r="I86" s="40">
        <v>0.62891203703703702</v>
      </c>
      <c r="J86" t="s">
        <v>626</v>
      </c>
      <c r="M86" t="s">
        <v>627</v>
      </c>
      <c r="N86" t="s">
        <v>628</v>
      </c>
    </row>
    <row r="87" spans="1:14" x14ac:dyDescent="0.25">
      <c r="A87" t="s">
        <v>763</v>
      </c>
      <c r="B87">
        <v>452590</v>
      </c>
      <c r="C87">
        <v>1741</v>
      </c>
      <c r="D87" t="s">
        <v>107</v>
      </c>
      <c r="E87" t="s">
        <v>87</v>
      </c>
      <c r="F87" t="s">
        <v>645</v>
      </c>
      <c r="G87" t="s">
        <v>643</v>
      </c>
      <c r="H87" s="4">
        <v>46002</v>
      </c>
      <c r="I87" s="40">
        <v>0.62892361111111106</v>
      </c>
      <c r="J87" t="s">
        <v>626</v>
      </c>
      <c r="M87" t="s">
        <v>627</v>
      </c>
      <c r="N87" t="s">
        <v>628</v>
      </c>
    </row>
    <row r="88" spans="1:14" x14ac:dyDescent="0.25">
      <c r="A88" t="s">
        <v>764</v>
      </c>
      <c r="B88">
        <v>452590</v>
      </c>
      <c r="C88">
        <v>1741</v>
      </c>
      <c r="D88" t="s">
        <v>107</v>
      </c>
      <c r="E88" t="s">
        <v>87</v>
      </c>
      <c r="F88" t="s">
        <v>647</v>
      </c>
      <c r="G88" t="s">
        <v>625</v>
      </c>
      <c r="H88" s="4">
        <v>46002</v>
      </c>
      <c r="I88" s="40">
        <v>0.62893518518518521</v>
      </c>
      <c r="J88" t="s">
        <v>626</v>
      </c>
      <c r="M88" t="s">
        <v>627</v>
      </c>
      <c r="N88" t="s">
        <v>628</v>
      </c>
    </row>
    <row r="89" spans="1:14" x14ac:dyDescent="0.25">
      <c r="A89" t="s">
        <v>765</v>
      </c>
      <c r="B89">
        <v>452590</v>
      </c>
      <c r="C89">
        <v>1741</v>
      </c>
      <c r="D89" t="s">
        <v>107</v>
      </c>
      <c r="E89" t="s">
        <v>87</v>
      </c>
      <c r="F89" t="s">
        <v>624</v>
      </c>
      <c r="G89" t="s">
        <v>625</v>
      </c>
      <c r="H89" s="4">
        <v>46002</v>
      </c>
      <c r="I89" s="40">
        <v>0.62905092592592593</v>
      </c>
      <c r="J89" t="s">
        <v>626</v>
      </c>
      <c r="M89" t="s">
        <v>627</v>
      </c>
      <c r="N89" t="s">
        <v>628</v>
      </c>
    </row>
    <row r="90" spans="1:14" x14ac:dyDescent="0.25">
      <c r="A90" t="s">
        <v>766</v>
      </c>
      <c r="B90">
        <v>452590</v>
      </c>
      <c r="C90">
        <v>1741</v>
      </c>
      <c r="D90" t="s">
        <v>107</v>
      </c>
      <c r="E90" t="s">
        <v>87</v>
      </c>
      <c r="F90" t="s">
        <v>630</v>
      </c>
      <c r="G90" t="s">
        <v>625</v>
      </c>
      <c r="H90" s="4">
        <v>46002</v>
      </c>
      <c r="I90" s="40">
        <v>0.62906249999999997</v>
      </c>
      <c r="J90" t="s">
        <v>626</v>
      </c>
      <c r="M90" t="s">
        <v>627</v>
      </c>
      <c r="N90" t="s">
        <v>628</v>
      </c>
    </row>
    <row r="91" spans="1:14" x14ac:dyDescent="0.25">
      <c r="A91" t="s">
        <v>767</v>
      </c>
      <c r="B91">
        <v>452590</v>
      </c>
      <c r="C91">
        <v>1741</v>
      </c>
      <c r="D91" t="s">
        <v>107</v>
      </c>
      <c r="E91" t="s">
        <v>87</v>
      </c>
      <c r="F91" t="s">
        <v>632</v>
      </c>
      <c r="G91" t="s">
        <v>625</v>
      </c>
      <c r="H91" s="4">
        <v>46002</v>
      </c>
      <c r="I91" s="40">
        <v>0.62907407407407412</v>
      </c>
      <c r="J91" t="s">
        <v>626</v>
      </c>
      <c r="M91" t="s">
        <v>627</v>
      </c>
      <c r="N91" t="s">
        <v>628</v>
      </c>
    </row>
    <row r="92" spans="1:14" x14ac:dyDescent="0.25">
      <c r="A92" t="s">
        <v>768</v>
      </c>
      <c r="B92">
        <v>452590</v>
      </c>
      <c r="C92">
        <v>1741</v>
      </c>
      <c r="D92" t="s">
        <v>107</v>
      </c>
      <c r="E92" t="s">
        <v>87</v>
      </c>
      <c r="F92" t="s">
        <v>634</v>
      </c>
      <c r="G92" t="s">
        <v>625</v>
      </c>
      <c r="H92" s="4">
        <v>46002</v>
      </c>
      <c r="I92" s="40">
        <v>0.62907407407407412</v>
      </c>
      <c r="J92" t="s">
        <v>626</v>
      </c>
      <c r="M92" t="s">
        <v>627</v>
      </c>
      <c r="N92" t="s">
        <v>628</v>
      </c>
    </row>
    <row r="93" spans="1:14" x14ac:dyDescent="0.25">
      <c r="A93" t="s">
        <v>769</v>
      </c>
      <c r="B93">
        <v>452590</v>
      </c>
      <c r="C93">
        <v>1741</v>
      </c>
      <c r="D93" t="s">
        <v>107</v>
      </c>
      <c r="E93" t="s">
        <v>87</v>
      </c>
      <c r="F93" t="s">
        <v>636</v>
      </c>
      <c r="G93" t="s">
        <v>625</v>
      </c>
      <c r="H93" s="4">
        <v>46002</v>
      </c>
      <c r="I93" s="40">
        <v>0.62908564814814816</v>
      </c>
      <c r="J93" t="s">
        <v>626</v>
      </c>
      <c r="M93" t="s">
        <v>627</v>
      </c>
      <c r="N93" t="s">
        <v>628</v>
      </c>
    </row>
    <row r="94" spans="1:14" x14ac:dyDescent="0.25">
      <c r="A94" t="s">
        <v>770</v>
      </c>
      <c r="B94">
        <v>452590</v>
      </c>
      <c r="C94">
        <v>1741</v>
      </c>
      <c r="D94" t="s">
        <v>107</v>
      </c>
      <c r="E94" t="s">
        <v>87</v>
      </c>
      <c r="F94" t="s">
        <v>761</v>
      </c>
      <c r="G94" t="s">
        <v>639</v>
      </c>
      <c r="H94" s="4">
        <v>46002</v>
      </c>
      <c r="I94" s="40">
        <v>0.6290972222222222</v>
      </c>
      <c r="J94" t="s">
        <v>626</v>
      </c>
      <c r="M94" t="s">
        <v>627</v>
      </c>
      <c r="N94" t="s">
        <v>628</v>
      </c>
    </row>
    <row r="95" spans="1:14" x14ac:dyDescent="0.25">
      <c r="A95" t="s">
        <v>771</v>
      </c>
      <c r="B95">
        <v>452590</v>
      </c>
      <c r="C95">
        <v>1741</v>
      </c>
      <c r="D95" t="s">
        <v>107</v>
      </c>
      <c r="E95" t="s">
        <v>87</v>
      </c>
      <c r="F95" t="s">
        <v>642</v>
      </c>
      <c r="G95" t="s">
        <v>625</v>
      </c>
      <c r="H95" s="4">
        <v>46002</v>
      </c>
      <c r="I95" s="40">
        <v>0.62910879629629635</v>
      </c>
      <c r="J95" t="s">
        <v>626</v>
      </c>
      <c r="M95" t="s">
        <v>627</v>
      </c>
      <c r="N95" t="s">
        <v>628</v>
      </c>
    </row>
    <row r="96" spans="1:14" x14ac:dyDescent="0.25">
      <c r="A96" t="s">
        <v>772</v>
      </c>
      <c r="B96">
        <v>452590</v>
      </c>
      <c r="C96">
        <v>1741</v>
      </c>
      <c r="D96" t="s">
        <v>107</v>
      </c>
      <c r="E96" t="s">
        <v>87</v>
      </c>
      <c r="F96" t="s">
        <v>645</v>
      </c>
      <c r="G96" t="s">
        <v>643</v>
      </c>
      <c r="H96" s="4">
        <v>46002</v>
      </c>
      <c r="I96" s="40">
        <v>0.62910879629629635</v>
      </c>
      <c r="J96" t="s">
        <v>626</v>
      </c>
      <c r="M96" t="s">
        <v>627</v>
      </c>
      <c r="N96" t="s">
        <v>628</v>
      </c>
    </row>
    <row r="97" spans="1:14" x14ac:dyDescent="0.25">
      <c r="A97" t="s">
        <v>773</v>
      </c>
      <c r="B97">
        <v>452590</v>
      </c>
      <c r="C97">
        <v>1741</v>
      </c>
      <c r="D97" t="s">
        <v>107</v>
      </c>
      <c r="E97" t="s">
        <v>87</v>
      </c>
      <c r="F97" t="s">
        <v>647</v>
      </c>
      <c r="G97" t="s">
        <v>625</v>
      </c>
      <c r="H97" s="4">
        <v>46002</v>
      </c>
      <c r="I97" s="40">
        <v>0.62912037037037039</v>
      </c>
      <c r="J97" t="s">
        <v>626</v>
      </c>
      <c r="M97" t="s">
        <v>627</v>
      </c>
      <c r="N97" t="s">
        <v>628</v>
      </c>
    </row>
    <row r="98" spans="1:14" x14ac:dyDescent="0.25">
      <c r="A98" t="s">
        <v>774</v>
      </c>
      <c r="B98">
        <v>452366</v>
      </c>
      <c r="C98">
        <v>1741</v>
      </c>
      <c r="D98" t="s">
        <v>69</v>
      </c>
      <c r="E98" t="s">
        <v>11</v>
      </c>
      <c r="F98" t="s">
        <v>624</v>
      </c>
      <c r="G98" t="s">
        <v>625</v>
      </c>
      <c r="H98" s="4">
        <v>46004</v>
      </c>
      <c r="I98" s="40">
        <v>0.40273148148148147</v>
      </c>
      <c r="J98" t="s">
        <v>626</v>
      </c>
      <c r="M98" t="s">
        <v>627</v>
      </c>
      <c r="N98" t="s">
        <v>628</v>
      </c>
    </row>
    <row r="99" spans="1:14" x14ac:dyDescent="0.25">
      <c r="A99" t="s">
        <v>775</v>
      </c>
      <c r="B99">
        <v>452366</v>
      </c>
      <c r="C99">
        <v>1741</v>
      </c>
      <c r="D99" t="s">
        <v>69</v>
      </c>
      <c r="E99" t="s">
        <v>11</v>
      </c>
      <c r="F99" t="s">
        <v>630</v>
      </c>
      <c r="G99" t="s">
        <v>625</v>
      </c>
      <c r="H99" s="4">
        <v>46004</v>
      </c>
      <c r="I99" s="40">
        <v>0.40278935185185183</v>
      </c>
      <c r="J99" t="s">
        <v>626</v>
      </c>
      <c r="M99" t="s">
        <v>627</v>
      </c>
      <c r="N99" t="s">
        <v>628</v>
      </c>
    </row>
    <row r="100" spans="1:14" x14ac:dyDescent="0.25">
      <c r="A100" t="s">
        <v>776</v>
      </c>
      <c r="B100">
        <v>452366</v>
      </c>
      <c r="C100">
        <v>1741</v>
      </c>
      <c r="D100" t="s">
        <v>69</v>
      </c>
      <c r="E100" t="s">
        <v>11</v>
      </c>
      <c r="F100" t="s">
        <v>632</v>
      </c>
      <c r="G100" t="s">
        <v>625</v>
      </c>
      <c r="H100" s="4">
        <v>46004</v>
      </c>
      <c r="I100" s="40">
        <v>0.40281250000000002</v>
      </c>
      <c r="J100" t="s">
        <v>626</v>
      </c>
      <c r="M100" t="s">
        <v>627</v>
      </c>
      <c r="N100" t="s">
        <v>628</v>
      </c>
    </row>
    <row r="101" spans="1:14" x14ac:dyDescent="0.25">
      <c r="A101" t="s">
        <v>777</v>
      </c>
      <c r="B101">
        <v>452366</v>
      </c>
      <c r="C101">
        <v>1741</v>
      </c>
      <c r="D101" t="s">
        <v>69</v>
      </c>
      <c r="E101" t="s">
        <v>11</v>
      </c>
      <c r="F101" t="s">
        <v>634</v>
      </c>
      <c r="G101" t="s">
        <v>625</v>
      </c>
      <c r="H101" s="4">
        <v>46004</v>
      </c>
      <c r="I101" s="40">
        <v>0.40282407407407406</v>
      </c>
      <c r="J101" t="s">
        <v>626</v>
      </c>
      <c r="M101" t="s">
        <v>627</v>
      </c>
      <c r="N101" t="s">
        <v>628</v>
      </c>
    </row>
    <row r="102" spans="1:14" x14ac:dyDescent="0.25">
      <c r="A102" t="s">
        <v>778</v>
      </c>
      <c r="B102">
        <v>452366</v>
      </c>
      <c r="C102">
        <v>1741</v>
      </c>
      <c r="D102" t="s">
        <v>69</v>
      </c>
      <c r="E102" t="s">
        <v>11</v>
      </c>
      <c r="F102" t="s">
        <v>636</v>
      </c>
      <c r="G102" t="s">
        <v>625</v>
      </c>
      <c r="H102" s="4">
        <v>46004</v>
      </c>
      <c r="I102" s="40">
        <v>0.40284722222222225</v>
      </c>
      <c r="J102" t="s">
        <v>626</v>
      </c>
      <c r="M102" t="s">
        <v>627</v>
      </c>
      <c r="N102" t="s">
        <v>628</v>
      </c>
    </row>
    <row r="103" spans="1:14" x14ac:dyDescent="0.25">
      <c r="A103" t="s">
        <v>779</v>
      </c>
      <c r="B103">
        <v>452366</v>
      </c>
      <c r="C103">
        <v>1741</v>
      </c>
      <c r="D103" t="s">
        <v>69</v>
      </c>
      <c r="E103" t="s">
        <v>11</v>
      </c>
      <c r="F103" t="s">
        <v>761</v>
      </c>
      <c r="G103" t="s">
        <v>625</v>
      </c>
      <c r="H103" s="4">
        <v>46004</v>
      </c>
      <c r="I103" s="40">
        <v>0.40287037037037038</v>
      </c>
      <c r="J103" t="s">
        <v>626</v>
      </c>
      <c r="M103" t="s">
        <v>627</v>
      </c>
      <c r="N103" t="s">
        <v>628</v>
      </c>
    </row>
    <row r="104" spans="1:14" x14ac:dyDescent="0.25">
      <c r="A104" t="s">
        <v>780</v>
      </c>
      <c r="B104">
        <v>452366</v>
      </c>
      <c r="C104">
        <v>1741</v>
      </c>
      <c r="D104" t="s">
        <v>69</v>
      </c>
      <c r="E104" t="s">
        <v>11</v>
      </c>
      <c r="F104" t="s">
        <v>642</v>
      </c>
      <c r="G104" t="s">
        <v>625</v>
      </c>
      <c r="H104" s="4">
        <v>46004</v>
      </c>
      <c r="I104" s="40">
        <v>0.40288194444444442</v>
      </c>
      <c r="J104" t="s">
        <v>626</v>
      </c>
      <c r="M104" t="s">
        <v>627</v>
      </c>
      <c r="N104" t="s">
        <v>628</v>
      </c>
    </row>
    <row r="105" spans="1:14" x14ac:dyDescent="0.25">
      <c r="A105" t="s">
        <v>781</v>
      </c>
      <c r="B105">
        <v>452366</v>
      </c>
      <c r="C105">
        <v>1741</v>
      </c>
      <c r="D105" t="s">
        <v>69</v>
      </c>
      <c r="E105" t="s">
        <v>11</v>
      </c>
      <c r="F105" t="s">
        <v>645</v>
      </c>
      <c r="G105" t="s">
        <v>643</v>
      </c>
      <c r="H105" s="4">
        <v>46004</v>
      </c>
      <c r="I105" s="40">
        <v>0.40289351851851851</v>
      </c>
      <c r="J105" t="s">
        <v>626</v>
      </c>
      <c r="M105" t="s">
        <v>627</v>
      </c>
      <c r="N105" t="s">
        <v>628</v>
      </c>
    </row>
    <row r="106" spans="1:14" x14ac:dyDescent="0.25">
      <c r="A106" t="s">
        <v>782</v>
      </c>
      <c r="B106">
        <v>452366</v>
      </c>
      <c r="C106">
        <v>1741</v>
      </c>
      <c r="D106" t="s">
        <v>69</v>
      </c>
      <c r="E106" t="s">
        <v>11</v>
      </c>
      <c r="F106" t="s">
        <v>624</v>
      </c>
      <c r="G106" t="s">
        <v>625</v>
      </c>
      <c r="H106" s="4">
        <v>46004</v>
      </c>
      <c r="I106" s="40">
        <v>0.40386574074074072</v>
      </c>
      <c r="J106" t="s">
        <v>626</v>
      </c>
      <c r="M106" t="s">
        <v>627</v>
      </c>
      <c r="N106" t="s">
        <v>628</v>
      </c>
    </row>
    <row r="107" spans="1:14" x14ac:dyDescent="0.25">
      <c r="A107" t="s">
        <v>783</v>
      </c>
      <c r="B107">
        <v>452366</v>
      </c>
      <c r="C107">
        <v>1741</v>
      </c>
      <c r="D107" t="s">
        <v>69</v>
      </c>
      <c r="E107" t="s">
        <v>11</v>
      </c>
      <c r="F107" t="s">
        <v>630</v>
      </c>
      <c r="G107" t="s">
        <v>625</v>
      </c>
      <c r="H107" s="4">
        <v>46004</v>
      </c>
      <c r="I107" s="40">
        <v>0.40388888888888891</v>
      </c>
      <c r="J107" t="s">
        <v>626</v>
      </c>
      <c r="M107" t="s">
        <v>627</v>
      </c>
      <c r="N107" t="s">
        <v>628</v>
      </c>
    </row>
    <row r="108" spans="1:14" x14ac:dyDescent="0.25">
      <c r="A108" t="s">
        <v>784</v>
      </c>
      <c r="B108">
        <v>452366</v>
      </c>
      <c r="C108">
        <v>1741</v>
      </c>
      <c r="D108" t="s">
        <v>69</v>
      </c>
      <c r="E108" t="s">
        <v>11</v>
      </c>
      <c r="F108" t="s">
        <v>632</v>
      </c>
      <c r="G108" t="s">
        <v>625</v>
      </c>
      <c r="H108" s="4">
        <v>46004</v>
      </c>
      <c r="I108" s="40">
        <v>0.40390046296296295</v>
      </c>
      <c r="J108" t="s">
        <v>626</v>
      </c>
      <c r="M108" t="s">
        <v>627</v>
      </c>
      <c r="N108" t="s">
        <v>628</v>
      </c>
    </row>
    <row r="109" spans="1:14" x14ac:dyDescent="0.25">
      <c r="A109" t="s">
        <v>785</v>
      </c>
      <c r="B109">
        <v>452366</v>
      </c>
      <c r="C109">
        <v>1741</v>
      </c>
      <c r="D109" t="s">
        <v>69</v>
      </c>
      <c r="E109" t="s">
        <v>11</v>
      </c>
      <c r="F109" t="s">
        <v>634</v>
      </c>
      <c r="G109" t="s">
        <v>625</v>
      </c>
      <c r="H109" s="4">
        <v>46004</v>
      </c>
      <c r="I109" s="40">
        <v>0.40393518518518517</v>
      </c>
      <c r="J109" t="s">
        <v>626</v>
      </c>
      <c r="M109" t="s">
        <v>627</v>
      </c>
      <c r="N109" t="s">
        <v>628</v>
      </c>
    </row>
    <row r="110" spans="1:14" x14ac:dyDescent="0.25">
      <c r="A110" t="s">
        <v>786</v>
      </c>
      <c r="B110">
        <v>452366</v>
      </c>
      <c r="C110">
        <v>1741</v>
      </c>
      <c r="D110" t="s">
        <v>69</v>
      </c>
      <c r="E110" t="s">
        <v>11</v>
      </c>
      <c r="F110" t="s">
        <v>636</v>
      </c>
      <c r="G110" t="s">
        <v>625</v>
      </c>
      <c r="H110" s="4">
        <v>46004</v>
      </c>
      <c r="I110" s="40">
        <v>0.40394675925925927</v>
      </c>
      <c r="J110" t="s">
        <v>626</v>
      </c>
      <c r="M110" t="s">
        <v>627</v>
      </c>
      <c r="N110" t="s">
        <v>628</v>
      </c>
    </row>
    <row r="111" spans="1:14" x14ac:dyDescent="0.25">
      <c r="A111" t="s">
        <v>787</v>
      </c>
      <c r="B111">
        <v>452366</v>
      </c>
      <c r="C111">
        <v>1741</v>
      </c>
      <c r="D111" t="s">
        <v>69</v>
      </c>
      <c r="E111" t="s">
        <v>11</v>
      </c>
      <c r="F111" t="s">
        <v>761</v>
      </c>
      <c r="G111" t="s">
        <v>625</v>
      </c>
      <c r="H111" s="4">
        <v>46004</v>
      </c>
      <c r="I111" s="40">
        <v>0.40395833333333331</v>
      </c>
      <c r="J111" t="s">
        <v>626</v>
      </c>
      <c r="M111" t="s">
        <v>627</v>
      </c>
      <c r="N111" t="s">
        <v>628</v>
      </c>
    </row>
    <row r="112" spans="1:14" x14ac:dyDescent="0.25">
      <c r="A112" t="s">
        <v>788</v>
      </c>
      <c r="B112">
        <v>452366</v>
      </c>
      <c r="C112">
        <v>1741</v>
      </c>
      <c r="D112" t="s">
        <v>69</v>
      </c>
      <c r="E112" t="s">
        <v>11</v>
      </c>
      <c r="F112" t="s">
        <v>642</v>
      </c>
      <c r="G112" t="s">
        <v>625</v>
      </c>
      <c r="H112" s="4">
        <v>46004</v>
      </c>
      <c r="I112" s="40">
        <v>0.40400462962962963</v>
      </c>
      <c r="J112" t="s">
        <v>626</v>
      </c>
      <c r="M112" t="s">
        <v>627</v>
      </c>
      <c r="N112" t="s">
        <v>628</v>
      </c>
    </row>
    <row r="113" spans="1:14" x14ac:dyDescent="0.25">
      <c r="A113" t="s">
        <v>789</v>
      </c>
      <c r="B113">
        <v>452366</v>
      </c>
      <c r="C113">
        <v>1741</v>
      </c>
      <c r="D113" t="s">
        <v>69</v>
      </c>
      <c r="E113" t="s">
        <v>11</v>
      </c>
      <c r="F113" t="s">
        <v>645</v>
      </c>
      <c r="G113" t="s">
        <v>643</v>
      </c>
      <c r="H113" s="4">
        <v>46004</v>
      </c>
      <c r="I113" s="40">
        <v>0.40403935185185186</v>
      </c>
      <c r="J113" t="s">
        <v>626</v>
      </c>
      <c r="M113" t="s">
        <v>627</v>
      </c>
      <c r="N113" t="s">
        <v>628</v>
      </c>
    </row>
    <row r="114" spans="1:14" x14ac:dyDescent="0.25">
      <c r="A114" t="s">
        <v>790</v>
      </c>
      <c r="B114">
        <v>452366</v>
      </c>
      <c r="C114">
        <v>1741</v>
      </c>
      <c r="D114" t="s">
        <v>69</v>
      </c>
      <c r="E114" t="s">
        <v>11</v>
      </c>
      <c r="F114" t="s">
        <v>647</v>
      </c>
      <c r="G114" t="s">
        <v>643</v>
      </c>
      <c r="H114" s="4">
        <v>46004</v>
      </c>
      <c r="I114" s="40">
        <v>0.40405092592592595</v>
      </c>
      <c r="J114" t="s">
        <v>626</v>
      </c>
      <c r="M114" t="s">
        <v>627</v>
      </c>
      <c r="N114" t="s">
        <v>628</v>
      </c>
    </row>
    <row r="115" spans="1:14" x14ac:dyDescent="0.25">
      <c r="A115" t="s">
        <v>791</v>
      </c>
      <c r="B115">
        <v>452366</v>
      </c>
      <c r="C115">
        <v>1741</v>
      </c>
      <c r="D115" t="s">
        <v>69</v>
      </c>
      <c r="E115" t="s">
        <v>11</v>
      </c>
      <c r="F115" t="s">
        <v>624</v>
      </c>
      <c r="G115" t="s">
        <v>625</v>
      </c>
      <c r="H115" s="4">
        <v>46004</v>
      </c>
      <c r="I115" s="40">
        <v>0.42431712962962964</v>
      </c>
      <c r="J115" t="s">
        <v>626</v>
      </c>
      <c r="M115" t="s">
        <v>627</v>
      </c>
      <c r="N115" t="s">
        <v>628</v>
      </c>
    </row>
    <row r="116" spans="1:14" x14ac:dyDescent="0.25">
      <c r="A116" t="s">
        <v>792</v>
      </c>
      <c r="B116">
        <v>452366</v>
      </c>
      <c r="C116">
        <v>1741</v>
      </c>
      <c r="D116" t="s">
        <v>69</v>
      </c>
      <c r="E116" t="s">
        <v>11</v>
      </c>
      <c r="F116" t="s">
        <v>630</v>
      </c>
      <c r="G116" t="s">
        <v>625</v>
      </c>
      <c r="H116" s="4">
        <v>46004</v>
      </c>
      <c r="I116" s="40">
        <v>0.42432870370370368</v>
      </c>
      <c r="J116" t="s">
        <v>626</v>
      </c>
      <c r="M116" t="s">
        <v>627</v>
      </c>
      <c r="N116" t="s">
        <v>628</v>
      </c>
    </row>
    <row r="117" spans="1:14" x14ac:dyDescent="0.25">
      <c r="A117" t="s">
        <v>793</v>
      </c>
      <c r="B117">
        <v>452366</v>
      </c>
      <c r="C117">
        <v>1741</v>
      </c>
      <c r="D117" t="s">
        <v>69</v>
      </c>
      <c r="E117" t="s">
        <v>11</v>
      </c>
      <c r="F117" t="s">
        <v>632</v>
      </c>
      <c r="G117" t="s">
        <v>625</v>
      </c>
      <c r="H117" s="4">
        <v>46004</v>
      </c>
      <c r="I117" s="40">
        <v>0.42434027777777777</v>
      </c>
      <c r="J117" t="s">
        <v>626</v>
      </c>
      <c r="M117" t="s">
        <v>627</v>
      </c>
      <c r="N117" t="s">
        <v>628</v>
      </c>
    </row>
    <row r="118" spans="1:14" x14ac:dyDescent="0.25">
      <c r="A118" t="s">
        <v>794</v>
      </c>
      <c r="B118">
        <v>452366</v>
      </c>
      <c r="C118">
        <v>1741</v>
      </c>
      <c r="D118" t="s">
        <v>69</v>
      </c>
      <c r="E118" t="s">
        <v>11</v>
      </c>
      <c r="F118" t="s">
        <v>634</v>
      </c>
      <c r="G118" t="s">
        <v>625</v>
      </c>
      <c r="H118" s="4">
        <v>46004</v>
      </c>
      <c r="I118" s="40">
        <v>0.42435185185185187</v>
      </c>
      <c r="J118" t="s">
        <v>626</v>
      </c>
      <c r="M118" t="s">
        <v>627</v>
      </c>
      <c r="N118" t="s">
        <v>628</v>
      </c>
    </row>
    <row r="119" spans="1:14" x14ac:dyDescent="0.25">
      <c r="A119" t="s">
        <v>795</v>
      </c>
      <c r="B119">
        <v>452366</v>
      </c>
      <c r="C119">
        <v>1741</v>
      </c>
      <c r="D119" t="s">
        <v>69</v>
      </c>
      <c r="E119" t="s">
        <v>11</v>
      </c>
      <c r="F119" t="s">
        <v>636</v>
      </c>
      <c r="G119" t="s">
        <v>625</v>
      </c>
      <c r="H119" s="4">
        <v>46004</v>
      </c>
      <c r="I119" s="40">
        <v>0.42435185185185187</v>
      </c>
      <c r="J119" t="s">
        <v>626</v>
      </c>
      <c r="M119" t="s">
        <v>627</v>
      </c>
      <c r="N119" t="s">
        <v>628</v>
      </c>
    </row>
    <row r="120" spans="1:14" x14ac:dyDescent="0.25">
      <c r="A120" t="s">
        <v>796</v>
      </c>
      <c r="B120">
        <v>452366</v>
      </c>
      <c r="C120">
        <v>1741</v>
      </c>
      <c r="D120" t="s">
        <v>69</v>
      </c>
      <c r="E120" t="s">
        <v>11</v>
      </c>
      <c r="F120" t="s">
        <v>761</v>
      </c>
      <c r="G120" t="s">
        <v>625</v>
      </c>
      <c r="H120" s="4">
        <v>46004</v>
      </c>
      <c r="I120" s="40">
        <v>0.42436342592592591</v>
      </c>
      <c r="J120" t="s">
        <v>626</v>
      </c>
      <c r="M120" t="s">
        <v>627</v>
      </c>
      <c r="N120" t="s">
        <v>628</v>
      </c>
    </row>
    <row r="121" spans="1:14" x14ac:dyDescent="0.25">
      <c r="A121" t="s">
        <v>797</v>
      </c>
      <c r="B121">
        <v>452366</v>
      </c>
      <c r="C121">
        <v>1741</v>
      </c>
      <c r="D121" t="s">
        <v>69</v>
      </c>
      <c r="E121" t="s">
        <v>11</v>
      </c>
      <c r="F121" t="s">
        <v>642</v>
      </c>
      <c r="G121" t="s">
        <v>625</v>
      </c>
      <c r="H121" s="4">
        <v>46004</v>
      </c>
      <c r="I121" s="40">
        <v>0.424375</v>
      </c>
      <c r="J121" t="s">
        <v>626</v>
      </c>
      <c r="M121" t="s">
        <v>627</v>
      </c>
      <c r="N121" t="s">
        <v>628</v>
      </c>
    </row>
    <row r="122" spans="1:14" x14ac:dyDescent="0.25">
      <c r="A122" t="s">
        <v>798</v>
      </c>
      <c r="B122">
        <v>452366</v>
      </c>
      <c r="C122">
        <v>1741</v>
      </c>
      <c r="D122" t="s">
        <v>69</v>
      </c>
      <c r="E122" t="s">
        <v>11</v>
      </c>
      <c r="F122" t="s">
        <v>647</v>
      </c>
      <c r="G122" t="s">
        <v>643</v>
      </c>
      <c r="H122" s="4">
        <v>46004</v>
      </c>
      <c r="I122" s="40">
        <v>0.4243865740740741</v>
      </c>
      <c r="J122" t="s">
        <v>626</v>
      </c>
      <c r="M122" t="s">
        <v>627</v>
      </c>
      <c r="N122" t="s">
        <v>628</v>
      </c>
    </row>
    <row r="123" spans="1:14" x14ac:dyDescent="0.25">
      <c r="A123" t="s">
        <v>799</v>
      </c>
      <c r="B123">
        <v>452366</v>
      </c>
      <c r="C123">
        <v>1741</v>
      </c>
      <c r="D123" t="s">
        <v>69</v>
      </c>
      <c r="E123" t="s">
        <v>11</v>
      </c>
      <c r="F123" t="s">
        <v>624</v>
      </c>
      <c r="G123" t="s">
        <v>625</v>
      </c>
      <c r="H123" s="4">
        <v>46004</v>
      </c>
      <c r="I123" s="40">
        <v>0.42517361111111113</v>
      </c>
      <c r="J123" t="s">
        <v>626</v>
      </c>
      <c r="M123" t="s">
        <v>627</v>
      </c>
      <c r="N123" t="s">
        <v>628</v>
      </c>
    </row>
    <row r="124" spans="1:14" x14ac:dyDescent="0.25">
      <c r="A124" t="s">
        <v>800</v>
      </c>
      <c r="B124">
        <v>452366</v>
      </c>
      <c r="C124">
        <v>1741</v>
      </c>
      <c r="D124" t="s">
        <v>69</v>
      </c>
      <c r="E124" t="s">
        <v>11</v>
      </c>
      <c r="F124" t="s">
        <v>630</v>
      </c>
      <c r="G124" t="s">
        <v>625</v>
      </c>
      <c r="H124" s="4">
        <v>46004</v>
      </c>
      <c r="I124" s="40">
        <v>0.42518518518518517</v>
      </c>
      <c r="J124" t="s">
        <v>626</v>
      </c>
      <c r="M124" t="s">
        <v>627</v>
      </c>
      <c r="N124" t="s">
        <v>628</v>
      </c>
    </row>
    <row r="125" spans="1:14" x14ac:dyDescent="0.25">
      <c r="A125" t="s">
        <v>801</v>
      </c>
      <c r="B125">
        <v>452366</v>
      </c>
      <c r="C125">
        <v>1741</v>
      </c>
      <c r="D125" t="s">
        <v>69</v>
      </c>
      <c r="E125" t="s">
        <v>11</v>
      </c>
      <c r="F125" t="s">
        <v>632</v>
      </c>
      <c r="G125" t="s">
        <v>625</v>
      </c>
      <c r="H125" s="4">
        <v>46004</v>
      </c>
      <c r="I125" s="40">
        <v>0.42518518518518517</v>
      </c>
      <c r="J125" t="s">
        <v>626</v>
      </c>
      <c r="M125" t="s">
        <v>627</v>
      </c>
      <c r="N125" t="s">
        <v>628</v>
      </c>
    </row>
    <row r="126" spans="1:14" x14ac:dyDescent="0.25">
      <c r="A126" t="s">
        <v>802</v>
      </c>
      <c r="B126">
        <v>452366</v>
      </c>
      <c r="C126">
        <v>1741</v>
      </c>
      <c r="D126" t="s">
        <v>69</v>
      </c>
      <c r="E126" t="s">
        <v>11</v>
      </c>
      <c r="F126" t="s">
        <v>634</v>
      </c>
      <c r="G126" t="s">
        <v>625</v>
      </c>
      <c r="H126" s="4">
        <v>46004</v>
      </c>
      <c r="I126" s="40">
        <v>0.42519675925925926</v>
      </c>
      <c r="J126" t="s">
        <v>626</v>
      </c>
      <c r="M126" t="s">
        <v>627</v>
      </c>
      <c r="N126" t="s">
        <v>628</v>
      </c>
    </row>
    <row r="127" spans="1:14" x14ac:dyDescent="0.25">
      <c r="A127" t="s">
        <v>803</v>
      </c>
      <c r="B127">
        <v>452366</v>
      </c>
      <c r="C127">
        <v>1741</v>
      </c>
      <c r="D127" t="s">
        <v>69</v>
      </c>
      <c r="E127" t="s">
        <v>11</v>
      </c>
      <c r="F127" t="s">
        <v>636</v>
      </c>
      <c r="G127" t="s">
        <v>625</v>
      </c>
      <c r="H127" s="4">
        <v>46004</v>
      </c>
      <c r="I127" s="40">
        <v>0.42520833333333335</v>
      </c>
      <c r="J127" t="s">
        <v>626</v>
      </c>
      <c r="M127" t="s">
        <v>627</v>
      </c>
      <c r="N127" t="s">
        <v>628</v>
      </c>
    </row>
    <row r="128" spans="1:14" x14ac:dyDescent="0.25">
      <c r="A128" t="s">
        <v>804</v>
      </c>
      <c r="B128">
        <v>452366</v>
      </c>
      <c r="C128">
        <v>1741</v>
      </c>
      <c r="D128" t="s">
        <v>69</v>
      </c>
      <c r="E128" t="s">
        <v>11</v>
      </c>
      <c r="F128" t="s">
        <v>761</v>
      </c>
      <c r="G128" t="s">
        <v>625</v>
      </c>
      <c r="H128" s="4">
        <v>46004</v>
      </c>
      <c r="I128" s="40">
        <v>0.42521990740740739</v>
      </c>
      <c r="J128" t="s">
        <v>626</v>
      </c>
      <c r="M128" t="s">
        <v>627</v>
      </c>
      <c r="N128" t="s">
        <v>628</v>
      </c>
    </row>
    <row r="129" spans="1:14" x14ac:dyDescent="0.25">
      <c r="A129" t="s">
        <v>805</v>
      </c>
      <c r="B129">
        <v>452366</v>
      </c>
      <c r="C129">
        <v>1741</v>
      </c>
      <c r="D129" t="s">
        <v>69</v>
      </c>
      <c r="E129" t="s">
        <v>11</v>
      </c>
      <c r="F129" t="s">
        <v>642</v>
      </c>
      <c r="G129" t="s">
        <v>643</v>
      </c>
      <c r="H129" s="4">
        <v>46004</v>
      </c>
      <c r="I129" s="40">
        <v>0.42523148148148149</v>
      </c>
      <c r="J129" t="s">
        <v>626</v>
      </c>
      <c r="M129" t="s">
        <v>627</v>
      </c>
      <c r="N129" t="s">
        <v>628</v>
      </c>
    </row>
    <row r="130" spans="1:14" x14ac:dyDescent="0.25">
      <c r="A130" t="s">
        <v>806</v>
      </c>
      <c r="B130">
        <v>452366</v>
      </c>
      <c r="C130">
        <v>1741</v>
      </c>
      <c r="D130" t="s">
        <v>69</v>
      </c>
      <c r="E130" t="s">
        <v>11</v>
      </c>
      <c r="F130" t="s">
        <v>645</v>
      </c>
      <c r="G130" t="s">
        <v>643</v>
      </c>
      <c r="H130" s="4">
        <v>46004</v>
      </c>
      <c r="I130" s="40">
        <v>0.42523148148148149</v>
      </c>
      <c r="J130" t="s">
        <v>626</v>
      </c>
      <c r="M130" t="s">
        <v>627</v>
      </c>
      <c r="N130" t="s">
        <v>628</v>
      </c>
    </row>
    <row r="131" spans="1:14" x14ac:dyDescent="0.25">
      <c r="A131" t="s">
        <v>807</v>
      </c>
      <c r="B131">
        <v>452366</v>
      </c>
      <c r="C131">
        <v>1741</v>
      </c>
      <c r="D131" t="s">
        <v>69</v>
      </c>
      <c r="E131" t="s">
        <v>11</v>
      </c>
      <c r="F131" t="s">
        <v>647</v>
      </c>
      <c r="G131" t="s">
        <v>643</v>
      </c>
      <c r="H131" s="4">
        <v>46004</v>
      </c>
      <c r="I131" s="40">
        <v>0.42524305555555558</v>
      </c>
      <c r="J131" t="s">
        <v>626</v>
      </c>
      <c r="M131" t="s">
        <v>627</v>
      </c>
      <c r="N131" t="s">
        <v>628</v>
      </c>
    </row>
    <row r="132" spans="1:14" x14ac:dyDescent="0.25">
      <c r="A132" t="s">
        <v>808</v>
      </c>
      <c r="B132">
        <v>274214</v>
      </c>
      <c r="C132">
        <v>2776</v>
      </c>
      <c r="D132" t="s">
        <v>277</v>
      </c>
      <c r="E132" t="s">
        <v>156</v>
      </c>
      <c r="F132" t="s">
        <v>645</v>
      </c>
      <c r="G132" t="s">
        <v>643</v>
      </c>
      <c r="H132" s="4">
        <v>46004</v>
      </c>
      <c r="I132" s="40">
        <v>0.42606481481481484</v>
      </c>
      <c r="J132" t="s">
        <v>626</v>
      </c>
      <c r="M132" t="s">
        <v>627</v>
      </c>
      <c r="N132" t="s">
        <v>628</v>
      </c>
    </row>
    <row r="133" spans="1:14" x14ac:dyDescent="0.25">
      <c r="A133" t="s">
        <v>809</v>
      </c>
      <c r="B133">
        <v>452366</v>
      </c>
      <c r="C133">
        <v>1741</v>
      </c>
      <c r="D133" t="s">
        <v>69</v>
      </c>
      <c r="E133" t="s">
        <v>11</v>
      </c>
      <c r="F133" t="s">
        <v>624</v>
      </c>
      <c r="G133" t="s">
        <v>625</v>
      </c>
      <c r="H133" s="4">
        <v>46004</v>
      </c>
      <c r="I133" s="40">
        <v>0.42746527777777776</v>
      </c>
      <c r="J133" t="s">
        <v>626</v>
      </c>
      <c r="M133" t="s">
        <v>627</v>
      </c>
      <c r="N133" t="s">
        <v>628</v>
      </c>
    </row>
    <row r="134" spans="1:14" x14ac:dyDescent="0.25">
      <c r="A134" t="s">
        <v>810</v>
      </c>
      <c r="B134">
        <v>452366</v>
      </c>
      <c r="C134">
        <v>1741</v>
      </c>
      <c r="D134" t="s">
        <v>69</v>
      </c>
      <c r="E134" t="s">
        <v>11</v>
      </c>
      <c r="F134" t="s">
        <v>630</v>
      </c>
      <c r="G134" t="s">
        <v>625</v>
      </c>
      <c r="H134" s="4">
        <v>46004</v>
      </c>
      <c r="I134" s="40">
        <v>0.42747685185185186</v>
      </c>
      <c r="J134" t="s">
        <v>626</v>
      </c>
      <c r="M134" t="s">
        <v>627</v>
      </c>
      <c r="N134" t="s">
        <v>628</v>
      </c>
    </row>
    <row r="135" spans="1:14" x14ac:dyDescent="0.25">
      <c r="A135" t="s">
        <v>811</v>
      </c>
      <c r="B135">
        <v>452366</v>
      </c>
      <c r="C135">
        <v>1741</v>
      </c>
      <c r="D135" t="s">
        <v>69</v>
      </c>
      <c r="E135" t="s">
        <v>11</v>
      </c>
      <c r="F135" t="s">
        <v>632</v>
      </c>
      <c r="G135" t="s">
        <v>625</v>
      </c>
      <c r="H135" s="4">
        <v>46004</v>
      </c>
      <c r="I135" s="40">
        <v>0.42748842592592595</v>
      </c>
      <c r="J135" t="s">
        <v>626</v>
      </c>
      <c r="M135" t="s">
        <v>627</v>
      </c>
      <c r="N135" t="s">
        <v>628</v>
      </c>
    </row>
    <row r="136" spans="1:14" x14ac:dyDescent="0.25">
      <c r="A136" t="s">
        <v>812</v>
      </c>
      <c r="B136">
        <v>452366</v>
      </c>
      <c r="C136">
        <v>1741</v>
      </c>
      <c r="D136" t="s">
        <v>69</v>
      </c>
      <c r="E136" t="s">
        <v>11</v>
      </c>
      <c r="F136" t="s">
        <v>634</v>
      </c>
      <c r="G136" t="s">
        <v>625</v>
      </c>
      <c r="H136" s="4">
        <v>46004</v>
      </c>
      <c r="I136" s="40">
        <v>0.42748842592592595</v>
      </c>
      <c r="J136" t="s">
        <v>626</v>
      </c>
      <c r="M136" t="s">
        <v>627</v>
      </c>
      <c r="N136" t="s">
        <v>628</v>
      </c>
    </row>
    <row r="137" spans="1:14" x14ac:dyDescent="0.25">
      <c r="A137" t="s">
        <v>813</v>
      </c>
      <c r="B137">
        <v>452366</v>
      </c>
      <c r="C137">
        <v>1741</v>
      </c>
      <c r="D137" t="s">
        <v>69</v>
      </c>
      <c r="E137" t="s">
        <v>11</v>
      </c>
      <c r="F137" t="s">
        <v>636</v>
      </c>
      <c r="G137" t="s">
        <v>625</v>
      </c>
      <c r="H137" s="4">
        <v>46004</v>
      </c>
      <c r="I137" s="40">
        <v>0.42749999999999999</v>
      </c>
      <c r="J137" t="s">
        <v>626</v>
      </c>
      <c r="M137" t="s">
        <v>627</v>
      </c>
      <c r="N137" t="s">
        <v>628</v>
      </c>
    </row>
    <row r="138" spans="1:14" x14ac:dyDescent="0.25">
      <c r="A138" t="s">
        <v>814</v>
      </c>
      <c r="B138">
        <v>452366</v>
      </c>
      <c r="C138">
        <v>1741</v>
      </c>
      <c r="D138" t="s">
        <v>69</v>
      </c>
      <c r="E138" t="s">
        <v>11</v>
      </c>
      <c r="F138" t="s">
        <v>761</v>
      </c>
      <c r="G138" t="s">
        <v>625</v>
      </c>
      <c r="H138" s="4">
        <v>46004</v>
      </c>
      <c r="I138" s="40">
        <v>0.42751157407407409</v>
      </c>
      <c r="J138" t="s">
        <v>626</v>
      </c>
      <c r="M138" t="s">
        <v>627</v>
      </c>
      <c r="N138" t="s">
        <v>628</v>
      </c>
    </row>
    <row r="139" spans="1:14" x14ac:dyDescent="0.25">
      <c r="A139" t="s">
        <v>815</v>
      </c>
      <c r="B139">
        <v>452366</v>
      </c>
      <c r="C139">
        <v>1741</v>
      </c>
      <c r="D139" t="s">
        <v>69</v>
      </c>
      <c r="E139" t="s">
        <v>11</v>
      </c>
      <c r="F139" t="s">
        <v>642</v>
      </c>
      <c r="G139" t="s">
        <v>625</v>
      </c>
      <c r="H139" s="4">
        <v>46004</v>
      </c>
      <c r="I139" s="40">
        <v>0.42752314814814812</v>
      </c>
      <c r="J139" t="s">
        <v>626</v>
      </c>
      <c r="M139" t="s">
        <v>627</v>
      </c>
      <c r="N139" t="s">
        <v>628</v>
      </c>
    </row>
    <row r="140" spans="1:14" x14ac:dyDescent="0.25">
      <c r="A140" t="s">
        <v>816</v>
      </c>
      <c r="B140">
        <v>452366</v>
      </c>
      <c r="C140">
        <v>1741</v>
      </c>
      <c r="D140" t="s">
        <v>69</v>
      </c>
      <c r="E140" t="s">
        <v>11</v>
      </c>
      <c r="F140" t="s">
        <v>645</v>
      </c>
      <c r="G140" t="s">
        <v>643</v>
      </c>
      <c r="H140" s="4">
        <v>46004</v>
      </c>
      <c r="I140" s="40">
        <v>0.42752314814814812</v>
      </c>
      <c r="J140" t="s">
        <v>626</v>
      </c>
      <c r="M140" t="s">
        <v>627</v>
      </c>
      <c r="N140" t="s">
        <v>628</v>
      </c>
    </row>
    <row r="141" spans="1:14" x14ac:dyDescent="0.25">
      <c r="A141" t="s">
        <v>817</v>
      </c>
      <c r="B141">
        <v>452366</v>
      </c>
      <c r="C141">
        <v>1741</v>
      </c>
      <c r="D141" t="s">
        <v>69</v>
      </c>
      <c r="E141" t="s">
        <v>11</v>
      </c>
      <c r="F141" t="s">
        <v>647</v>
      </c>
      <c r="G141" t="s">
        <v>643</v>
      </c>
      <c r="H141" s="4">
        <v>46004</v>
      </c>
      <c r="I141" s="40">
        <v>0.42753472222222222</v>
      </c>
      <c r="J141" t="s">
        <v>626</v>
      </c>
      <c r="M141" t="s">
        <v>627</v>
      </c>
      <c r="N141" t="s">
        <v>628</v>
      </c>
    </row>
    <row r="142" spans="1:14" x14ac:dyDescent="0.25">
      <c r="A142" t="s">
        <v>818</v>
      </c>
      <c r="B142">
        <v>274214</v>
      </c>
      <c r="C142">
        <v>2776</v>
      </c>
      <c r="D142" t="s">
        <v>277</v>
      </c>
      <c r="E142" t="s">
        <v>156</v>
      </c>
      <c r="F142" t="s">
        <v>645</v>
      </c>
      <c r="G142" t="s">
        <v>625</v>
      </c>
      <c r="H142" s="4">
        <v>46004</v>
      </c>
      <c r="I142" s="40">
        <v>0.42770833333333336</v>
      </c>
      <c r="J142" t="s">
        <v>626</v>
      </c>
      <c r="M142" t="s">
        <v>627</v>
      </c>
      <c r="N142" t="s">
        <v>628</v>
      </c>
    </row>
    <row r="143" spans="1:14" x14ac:dyDescent="0.25">
      <c r="A143" t="s">
        <v>819</v>
      </c>
      <c r="B143">
        <v>274214</v>
      </c>
      <c r="C143">
        <v>2776</v>
      </c>
      <c r="D143" t="s">
        <v>277</v>
      </c>
      <c r="E143" t="s">
        <v>156</v>
      </c>
      <c r="F143" t="s">
        <v>645</v>
      </c>
      <c r="G143" t="s">
        <v>666</v>
      </c>
      <c r="H143" s="4">
        <v>46004</v>
      </c>
      <c r="I143" s="40">
        <v>0.43537037037037035</v>
      </c>
      <c r="J143" t="s">
        <v>626</v>
      </c>
      <c r="M143" t="s">
        <v>627</v>
      </c>
      <c r="N143" t="s">
        <v>628</v>
      </c>
    </row>
    <row r="144" spans="1:14" x14ac:dyDescent="0.25">
      <c r="A144" t="s">
        <v>820</v>
      </c>
      <c r="B144">
        <v>274214</v>
      </c>
      <c r="F144" t="s">
        <v>645</v>
      </c>
      <c r="G144" t="s">
        <v>666</v>
      </c>
      <c r="H144" s="4">
        <v>46004</v>
      </c>
      <c r="I144" s="40">
        <v>0.43636574074074075</v>
      </c>
      <c r="J144" t="s">
        <v>626</v>
      </c>
      <c r="M144" t="s">
        <v>627</v>
      </c>
      <c r="N144" t="s">
        <v>628</v>
      </c>
    </row>
    <row r="145" spans="1:14" x14ac:dyDescent="0.25">
      <c r="A145" t="s">
        <v>821</v>
      </c>
      <c r="B145">
        <v>274214</v>
      </c>
      <c r="C145">
        <v>2776</v>
      </c>
      <c r="D145" t="s">
        <v>277</v>
      </c>
      <c r="E145" t="s">
        <v>156</v>
      </c>
      <c r="F145" t="s">
        <v>645</v>
      </c>
      <c r="G145" t="s">
        <v>666</v>
      </c>
      <c r="H145" s="4">
        <v>46004</v>
      </c>
      <c r="I145" s="40">
        <v>0.43716435185185187</v>
      </c>
      <c r="J145" t="s">
        <v>626</v>
      </c>
      <c r="M145" t="s">
        <v>627</v>
      </c>
      <c r="N145" t="s">
        <v>628</v>
      </c>
    </row>
    <row r="146" spans="1:14" x14ac:dyDescent="0.25">
      <c r="A146" t="s">
        <v>822</v>
      </c>
      <c r="B146">
        <v>274214</v>
      </c>
      <c r="C146">
        <v>2776</v>
      </c>
      <c r="D146" t="s">
        <v>277</v>
      </c>
      <c r="E146" t="s">
        <v>156</v>
      </c>
      <c r="F146" t="s">
        <v>645</v>
      </c>
      <c r="G146" t="s">
        <v>666</v>
      </c>
      <c r="H146" s="4">
        <v>46004</v>
      </c>
      <c r="I146" s="40">
        <v>0.43881944444444443</v>
      </c>
      <c r="J146" t="s">
        <v>626</v>
      </c>
      <c r="M146" t="s">
        <v>627</v>
      </c>
      <c r="N146" t="s">
        <v>628</v>
      </c>
    </row>
    <row r="147" spans="1:14" x14ac:dyDescent="0.25">
      <c r="A147" t="s">
        <v>823</v>
      </c>
      <c r="B147">
        <v>274214</v>
      </c>
      <c r="C147">
        <v>2776</v>
      </c>
      <c r="D147" t="s">
        <v>277</v>
      </c>
      <c r="E147" t="s">
        <v>156</v>
      </c>
      <c r="F147" t="s">
        <v>645</v>
      </c>
      <c r="G147" t="s">
        <v>625</v>
      </c>
      <c r="H147" s="4">
        <v>46004</v>
      </c>
      <c r="I147" s="40">
        <v>0.4390162037037037</v>
      </c>
      <c r="J147" t="s">
        <v>626</v>
      </c>
      <c r="M147" t="s">
        <v>627</v>
      </c>
      <c r="N147" t="s">
        <v>628</v>
      </c>
    </row>
    <row r="148" spans="1:14" x14ac:dyDescent="0.25">
      <c r="A148" t="s">
        <v>824</v>
      </c>
      <c r="B148">
        <v>274214</v>
      </c>
      <c r="C148">
        <v>2776</v>
      </c>
      <c r="D148" t="s">
        <v>277</v>
      </c>
      <c r="E148" t="s">
        <v>156</v>
      </c>
      <c r="F148" t="s">
        <v>624</v>
      </c>
      <c r="G148" t="s">
        <v>625</v>
      </c>
      <c r="H148" s="4">
        <v>46004</v>
      </c>
      <c r="I148" s="40">
        <v>0.44071759259259258</v>
      </c>
      <c r="J148" t="s">
        <v>626</v>
      </c>
      <c r="M148" t="s">
        <v>627</v>
      </c>
      <c r="N148" t="s">
        <v>628</v>
      </c>
    </row>
    <row r="149" spans="1:14" x14ac:dyDescent="0.25">
      <c r="A149" t="s">
        <v>825</v>
      </c>
      <c r="B149">
        <v>274214</v>
      </c>
      <c r="C149">
        <v>2776</v>
      </c>
      <c r="D149" t="s">
        <v>277</v>
      </c>
      <c r="E149" t="s">
        <v>156</v>
      </c>
      <c r="F149" t="s">
        <v>630</v>
      </c>
      <c r="G149" t="s">
        <v>625</v>
      </c>
      <c r="H149" s="4">
        <v>46004</v>
      </c>
      <c r="I149" s="40">
        <v>0.44071759259259258</v>
      </c>
      <c r="J149" t="s">
        <v>626</v>
      </c>
      <c r="M149" t="s">
        <v>627</v>
      </c>
      <c r="N149" t="s">
        <v>628</v>
      </c>
    </row>
    <row r="150" spans="1:14" x14ac:dyDescent="0.25">
      <c r="A150" t="s">
        <v>826</v>
      </c>
      <c r="B150">
        <v>274214</v>
      </c>
      <c r="C150">
        <v>2776</v>
      </c>
      <c r="D150" t="s">
        <v>277</v>
      </c>
      <c r="E150" t="s">
        <v>156</v>
      </c>
      <c r="F150" t="s">
        <v>632</v>
      </c>
      <c r="G150" t="s">
        <v>625</v>
      </c>
      <c r="H150" s="4">
        <v>46004</v>
      </c>
      <c r="I150" s="40">
        <v>0.44072916666666667</v>
      </c>
      <c r="J150" t="s">
        <v>626</v>
      </c>
      <c r="M150" t="s">
        <v>627</v>
      </c>
      <c r="N150" t="s">
        <v>628</v>
      </c>
    </row>
    <row r="151" spans="1:14" x14ac:dyDescent="0.25">
      <c r="A151" t="s">
        <v>827</v>
      </c>
      <c r="B151">
        <v>274214</v>
      </c>
      <c r="C151">
        <v>2776</v>
      </c>
      <c r="D151" t="s">
        <v>277</v>
      </c>
      <c r="E151" t="s">
        <v>156</v>
      </c>
      <c r="F151" t="s">
        <v>634</v>
      </c>
      <c r="G151" t="s">
        <v>625</v>
      </c>
      <c r="H151" s="4">
        <v>46004</v>
      </c>
      <c r="I151" s="40">
        <v>0.44074074074074077</v>
      </c>
      <c r="J151" t="s">
        <v>626</v>
      </c>
      <c r="M151" t="s">
        <v>627</v>
      </c>
      <c r="N151" t="s">
        <v>628</v>
      </c>
    </row>
    <row r="152" spans="1:14" x14ac:dyDescent="0.25">
      <c r="A152" t="s">
        <v>828</v>
      </c>
      <c r="B152">
        <v>274214</v>
      </c>
      <c r="C152">
        <v>2776</v>
      </c>
      <c r="D152" t="s">
        <v>277</v>
      </c>
      <c r="E152" t="s">
        <v>156</v>
      </c>
      <c r="F152" t="s">
        <v>636</v>
      </c>
      <c r="G152" t="s">
        <v>625</v>
      </c>
      <c r="H152" s="4">
        <v>46004</v>
      </c>
      <c r="I152" s="40">
        <v>0.44075231481481481</v>
      </c>
      <c r="J152" t="s">
        <v>626</v>
      </c>
      <c r="M152" t="s">
        <v>627</v>
      </c>
      <c r="N152" t="s">
        <v>628</v>
      </c>
    </row>
    <row r="153" spans="1:14" x14ac:dyDescent="0.25">
      <c r="A153" t="s">
        <v>829</v>
      </c>
      <c r="B153">
        <v>274214</v>
      </c>
      <c r="C153">
        <v>2776</v>
      </c>
      <c r="D153" t="s">
        <v>277</v>
      </c>
      <c r="E153" t="s">
        <v>156</v>
      </c>
      <c r="F153" t="s">
        <v>761</v>
      </c>
      <c r="G153" t="s">
        <v>625</v>
      </c>
      <c r="H153" s="4">
        <v>46004</v>
      </c>
      <c r="I153" s="40">
        <v>0.44075231481481481</v>
      </c>
      <c r="J153" t="s">
        <v>626</v>
      </c>
      <c r="M153" t="s">
        <v>627</v>
      </c>
      <c r="N153" t="s">
        <v>628</v>
      </c>
    </row>
    <row r="154" spans="1:14" x14ac:dyDescent="0.25">
      <c r="A154" t="s">
        <v>830</v>
      </c>
      <c r="B154">
        <v>274214</v>
      </c>
      <c r="C154">
        <v>2776</v>
      </c>
      <c r="D154" t="s">
        <v>277</v>
      </c>
      <c r="E154" t="s">
        <v>156</v>
      </c>
      <c r="F154" t="s">
        <v>642</v>
      </c>
      <c r="G154" t="s">
        <v>625</v>
      </c>
      <c r="H154" s="4">
        <v>46004</v>
      </c>
      <c r="I154" s="40">
        <v>0.4407638888888889</v>
      </c>
      <c r="J154" t="s">
        <v>626</v>
      </c>
      <c r="M154" t="s">
        <v>627</v>
      </c>
      <c r="N154" t="s">
        <v>628</v>
      </c>
    </row>
    <row r="155" spans="1:14" x14ac:dyDescent="0.25">
      <c r="A155" t="s">
        <v>831</v>
      </c>
      <c r="B155">
        <v>274214</v>
      </c>
      <c r="C155">
        <v>2776</v>
      </c>
      <c r="D155" t="s">
        <v>277</v>
      </c>
      <c r="E155" t="s">
        <v>156</v>
      </c>
      <c r="F155" t="s">
        <v>645</v>
      </c>
      <c r="G155" t="s">
        <v>625</v>
      </c>
      <c r="H155" s="4">
        <v>46004</v>
      </c>
      <c r="I155" s="40">
        <v>0.44077546296296294</v>
      </c>
      <c r="J155" t="s">
        <v>626</v>
      </c>
      <c r="M155" t="s">
        <v>627</v>
      </c>
      <c r="N155" t="s">
        <v>628</v>
      </c>
    </row>
    <row r="156" spans="1:14" x14ac:dyDescent="0.25">
      <c r="A156" t="s">
        <v>832</v>
      </c>
      <c r="B156">
        <v>274214</v>
      </c>
      <c r="C156">
        <v>2776</v>
      </c>
      <c r="D156" t="s">
        <v>277</v>
      </c>
      <c r="E156" t="s">
        <v>156</v>
      </c>
      <c r="F156" t="s">
        <v>647</v>
      </c>
      <c r="G156" t="s">
        <v>625</v>
      </c>
      <c r="H156" s="4">
        <v>46004</v>
      </c>
      <c r="I156" s="40">
        <v>0.44078703703703703</v>
      </c>
      <c r="J156" t="s">
        <v>626</v>
      </c>
      <c r="M156" t="s">
        <v>627</v>
      </c>
      <c r="N156" t="s">
        <v>628</v>
      </c>
    </row>
    <row r="157" spans="1:14" x14ac:dyDescent="0.25">
      <c r="A157" t="s">
        <v>833</v>
      </c>
      <c r="B157">
        <v>452590</v>
      </c>
      <c r="C157">
        <v>1741</v>
      </c>
      <c r="D157" t="s">
        <v>107</v>
      </c>
      <c r="E157" t="s">
        <v>87</v>
      </c>
      <c r="F157" t="s">
        <v>624</v>
      </c>
      <c r="G157" t="s">
        <v>625</v>
      </c>
      <c r="H157" s="4">
        <v>46004</v>
      </c>
      <c r="I157" s="40">
        <v>0.44138888888888889</v>
      </c>
      <c r="J157" t="s">
        <v>626</v>
      </c>
      <c r="M157" t="s">
        <v>627</v>
      </c>
      <c r="N157" t="s">
        <v>628</v>
      </c>
    </row>
    <row r="158" spans="1:14" x14ac:dyDescent="0.25">
      <c r="A158" t="s">
        <v>834</v>
      </c>
      <c r="B158">
        <v>452590</v>
      </c>
      <c r="C158">
        <v>1741</v>
      </c>
      <c r="D158" t="s">
        <v>107</v>
      </c>
      <c r="E158" t="s">
        <v>87</v>
      </c>
      <c r="F158" t="s">
        <v>630</v>
      </c>
      <c r="G158" t="s">
        <v>625</v>
      </c>
      <c r="H158" s="4">
        <v>46004</v>
      </c>
      <c r="I158" s="40">
        <v>0.44140046296296298</v>
      </c>
      <c r="J158" t="s">
        <v>626</v>
      </c>
      <c r="M158" t="s">
        <v>627</v>
      </c>
      <c r="N158" t="s">
        <v>628</v>
      </c>
    </row>
    <row r="159" spans="1:14" x14ac:dyDescent="0.25">
      <c r="A159" t="s">
        <v>835</v>
      </c>
      <c r="B159">
        <v>452590</v>
      </c>
      <c r="C159">
        <v>1741</v>
      </c>
      <c r="D159" t="s">
        <v>107</v>
      </c>
      <c r="E159" t="s">
        <v>87</v>
      </c>
      <c r="F159" t="s">
        <v>632</v>
      </c>
      <c r="G159" t="s">
        <v>625</v>
      </c>
      <c r="H159" s="4">
        <v>46004</v>
      </c>
      <c r="I159" s="40">
        <v>0.44141203703703702</v>
      </c>
      <c r="J159" t="s">
        <v>626</v>
      </c>
      <c r="M159" t="s">
        <v>627</v>
      </c>
      <c r="N159" t="s">
        <v>628</v>
      </c>
    </row>
    <row r="160" spans="1:14" x14ac:dyDescent="0.25">
      <c r="A160" t="s">
        <v>836</v>
      </c>
      <c r="B160">
        <v>452590</v>
      </c>
      <c r="C160">
        <v>1741</v>
      </c>
      <c r="D160" t="s">
        <v>107</v>
      </c>
      <c r="E160" t="s">
        <v>87</v>
      </c>
      <c r="F160" t="s">
        <v>634</v>
      </c>
      <c r="G160" t="s">
        <v>625</v>
      </c>
      <c r="H160" s="4">
        <v>46004</v>
      </c>
      <c r="I160" s="40">
        <v>0.44142361111111111</v>
      </c>
      <c r="J160" t="s">
        <v>626</v>
      </c>
      <c r="M160" t="s">
        <v>627</v>
      </c>
      <c r="N160" t="s">
        <v>628</v>
      </c>
    </row>
    <row r="161" spans="1:14" x14ac:dyDescent="0.25">
      <c r="A161" t="s">
        <v>837</v>
      </c>
      <c r="B161">
        <v>452590</v>
      </c>
      <c r="C161">
        <v>1741</v>
      </c>
      <c r="D161" t="s">
        <v>107</v>
      </c>
      <c r="E161" t="s">
        <v>87</v>
      </c>
      <c r="F161" t="s">
        <v>636</v>
      </c>
      <c r="G161" t="s">
        <v>625</v>
      </c>
      <c r="H161" s="4">
        <v>46004</v>
      </c>
      <c r="I161" s="40">
        <v>0.44142361111111111</v>
      </c>
      <c r="J161" t="s">
        <v>626</v>
      </c>
      <c r="M161" t="s">
        <v>627</v>
      </c>
      <c r="N161" t="s">
        <v>628</v>
      </c>
    </row>
    <row r="162" spans="1:14" x14ac:dyDescent="0.25">
      <c r="A162" t="s">
        <v>838</v>
      </c>
      <c r="B162">
        <v>452590</v>
      </c>
      <c r="C162">
        <v>1741</v>
      </c>
      <c r="D162" t="s">
        <v>107</v>
      </c>
      <c r="E162" t="s">
        <v>87</v>
      </c>
      <c r="F162" t="s">
        <v>761</v>
      </c>
      <c r="G162" t="s">
        <v>639</v>
      </c>
      <c r="H162" s="4">
        <v>46004</v>
      </c>
      <c r="I162" s="40">
        <v>0.44143518518518521</v>
      </c>
      <c r="J162" t="s">
        <v>626</v>
      </c>
      <c r="M162" t="s">
        <v>627</v>
      </c>
      <c r="N162" t="s">
        <v>628</v>
      </c>
    </row>
    <row r="163" spans="1:14" x14ac:dyDescent="0.25">
      <c r="A163" t="s">
        <v>839</v>
      </c>
      <c r="B163">
        <v>452590</v>
      </c>
      <c r="C163">
        <v>1741</v>
      </c>
      <c r="D163" t="s">
        <v>107</v>
      </c>
      <c r="E163" t="s">
        <v>87</v>
      </c>
      <c r="F163" t="s">
        <v>642</v>
      </c>
      <c r="G163" t="s">
        <v>625</v>
      </c>
      <c r="H163" s="4">
        <v>46004</v>
      </c>
      <c r="I163" s="40">
        <v>0.44144675925925925</v>
      </c>
      <c r="J163" t="s">
        <v>626</v>
      </c>
      <c r="M163" t="s">
        <v>627</v>
      </c>
      <c r="N163" t="s">
        <v>628</v>
      </c>
    </row>
    <row r="164" spans="1:14" x14ac:dyDescent="0.25">
      <c r="A164" t="s">
        <v>840</v>
      </c>
      <c r="B164">
        <v>452590</v>
      </c>
      <c r="C164">
        <v>1741</v>
      </c>
      <c r="D164" t="s">
        <v>107</v>
      </c>
      <c r="E164" t="s">
        <v>87</v>
      </c>
      <c r="F164" t="s">
        <v>645</v>
      </c>
      <c r="G164" t="s">
        <v>643</v>
      </c>
      <c r="H164" s="4">
        <v>46004</v>
      </c>
      <c r="I164" s="40">
        <v>0.44145833333333334</v>
      </c>
      <c r="J164" t="s">
        <v>626</v>
      </c>
      <c r="M164" t="s">
        <v>627</v>
      </c>
      <c r="N164" t="s">
        <v>628</v>
      </c>
    </row>
    <row r="165" spans="1:14" x14ac:dyDescent="0.25">
      <c r="A165" t="s">
        <v>841</v>
      </c>
      <c r="B165">
        <v>452590</v>
      </c>
      <c r="C165">
        <v>1741</v>
      </c>
      <c r="D165" t="s">
        <v>107</v>
      </c>
      <c r="E165" t="s">
        <v>87</v>
      </c>
      <c r="F165" t="s">
        <v>647</v>
      </c>
      <c r="G165" t="s">
        <v>625</v>
      </c>
      <c r="H165" s="4">
        <v>46004</v>
      </c>
      <c r="I165" s="40">
        <v>0.44145833333333334</v>
      </c>
      <c r="J165" t="s">
        <v>626</v>
      </c>
      <c r="M165" t="s">
        <v>627</v>
      </c>
      <c r="N165" t="s">
        <v>628</v>
      </c>
    </row>
    <row r="166" spans="1:14" x14ac:dyDescent="0.25">
      <c r="A166" t="s">
        <v>842</v>
      </c>
      <c r="B166">
        <v>452861</v>
      </c>
      <c r="C166">
        <v>1741</v>
      </c>
      <c r="D166" t="s">
        <v>620</v>
      </c>
      <c r="E166" t="s">
        <v>87</v>
      </c>
      <c r="F166" t="s">
        <v>624</v>
      </c>
      <c r="G166" t="s">
        <v>625</v>
      </c>
      <c r="H166" s="4">
        <v>46004</v>
      </c>
      <c r="I166" s="40">
        <v>0.44187500000000002</v>
      </c>
      <c r="J166" t="s">
        <v>626</v>
      </c>
      <c r="M166" t="s">
        <v>627</v>
      </c>
      <c r="N166" t="s">
        <v>628</v>
      </c>
    </row>
    <row r="167" spans="1:14" x14ac:dyDescent="0.25">
      <c r="A167" t="s">
        <v>843</v>
      </c>
      <c r="B167">
        <v>452861</v>
      </c>
      <c r="C167">
        <v>1741</v>
      </c>
      <c r="D167" t="s">
        <v>620</v>
      </c>
      <c r="E167" t="s">
        <v>87</v>
      </c>
      <c r="F167" t="s">
        <v>630</v>
      </c>
      <c r="G167" t="s">
        <v>625</v>
      </c>
      <c r="H167" s="4">
        <v>46004</v>
      </c>
      <c r="I167" s="40">
        <v>0.44188657407407406</v>
      </c>
      <c r="J167" t="s">
        <v>626</v>
      </c>
      <c r="M167" t="s">
        <v>627</v>
      </c>
      <c r="N167" t="s">
        <v>628</v>
      </c>
    </row>
    <row r="168" spans="1:14" x14ac:dyDescent="0.25">
      <c r="A168" t="s">
        <v>844</v>
      </c>
      <c r="B168">
        <v>452861</v>
      </c>
      <c r="C168">
        <v>1741</v>
      </c>
      <c r="D168" t="s">
        <v>620</v>
      </c>
      <c r="E168" t="s">
        <v>87</v>
      </c>
      <c r="F168" t="s">
        <v>632</v>
      </c>
      <c r="G168" t="s">
        <v>625</v>
      </c>
      <c r="H168" s="4">
        <v>46004</v>
      </c>
      <c r="I168" s="40">
        <v>0.44189814814814815</v>
      </c>
      <c r="J168" t="s">
        <v>626</v>
      </c>
      <c r="M168" t="s">
        <v>627</v>
      </c>
      <c r="N168" t="s">
        <v>628</v>
      </c>
    </row>
    <row r="169" spans="1:14" x14ac:dyDescent="0.25">
      <c r="A169" t="s">
        <v>845</v>
      </c>
      <c r="B169">
        <v>452861</v>
      </c>
      <c r="C169">
        <v>1741</v>
      </c>
      <c r="D169" t="s">
        <v>620</v>
      </c>
      <c r="E169" t="s">
        <v>87</v>
      </c>
      <c r="F169" t="s">
        <v>634</v>
      </c>
      <c r="G169" t="s">
        <v>625</v>
      </c>
      <c r="H169" s="4">
        <v>46004</v>
      </c>
      <c r="I169" s="40">
        <v>0.44190972222222225</v>
      </c>
      <c r="J169" t="s">
        <v>626</v>
      </c>
      <c r="M169" t="s">
        <v>627</v>
      </c>
      <c r="N169" t="s">
        <v>628</v>
      </c>
    </row>
    <row r="170" spans="1:14" x14ac:dyDescent="0.25">
      <c r="A170" t="s">
        <v>846</v>
      </c>
      <c r="B170">
        <v>452861</v>
      </c>
      <c r="C170">
        <v>1741</v>
      </c>
      <c r="D170" t="s">
        <v>620</v>
      </c>
      <c r="E170" t="s">
        <v>87</v>
      </c>
      <c r="F170" t="s">
        <v>636</v>
      </c>
      <c r="G170" t="s">
        <v>625</v>
      </c>
      <c r="H170" s="4">
        <v>46004</v>
      </c>
      <c r="I170" s="40">
        <v>0.44190972222222225</v>
      </c>
      <c r="J170" t="s">
        <v>626</v>
      </c>
      <c r="M170" t="s">
        <v>627</v>
      </c>
      <c r="N170" t="s">
        <v>628</v>
      </c>
    </row>
    <row r="171" spans="1:14" x14ac:dyDescent="0.25">
      <c r="A171" t="s">
        <v>847</v>
      </c>
      <c r="B171">
        <v>452861</v>
      </c>
      <c r="C171">
        <v>1741</v>
      </c>
      <c r="D171" t="s">
        <v>620</v>
      </c>
      <c r="E171" t="s">
        <v>87</v>
      </c>
      <c r="F171" t="s">
        <v>761</v>
      </c>
      <c r="G171" t="s">
        <v>625</v>
      </c>
      <c r="H171" s="4">
        <v>46004</v>
      </c>
      <c r="I171" s="40">
        <v>0.44192129629629628</v>
      </c>
      <c r="J171" t="s">
        <v>626</v>
      </c>
      <c r="M171" t="s">
        <v>627</v>
      </c>
      <c r="N171" t="s">
        <v>628</v>
      </c>
    </row>
    <row r="172" spans="1:14" x14ac:dyDescent="0.25">
      <c r="A172" t="s">
        <v>848</v>
      </c>
      <c r="B172">
        <v>452861</v>
      </c>
      <c r="C172">
        <v>1741</v>
      </c>
      <c r="D172" t="s">
        <v>620</v>
      </c>
      <c r="E172" t="s">
        <v>87</v>
      </c>
      <c r="F172" t="s">
        <v>642</v>
      </c>
      <c r="G172" t="s">
        <v>625</v>
      </c>
      <c r="H172" s="4">
        <v>46004</v>
      </c>
      <c r="I172" s="40">
        <v>0.44193287037037038</v>
      </c>
      <c r="J172" t="s">
        <v>626</v>
      </c>
      <c r="M172" t="s">
        <v>627</v>
      </c>
      <c r="N172" t="s">
        <v>628</v>
      </c>
    </row>
    <row r="173" spans="1:14" x14ac:dyDescent="0.25">
      <c r="A173" t="s">
        <v>849</v>
      </c>
      <c r="B173">
        <v>452861</v>
      </c>
      <c r="C173">
        <v>1741</v>
      </c>
      <c r="D173" t="s">
        <v>620</v>
      </c>
      <c r="E173" t="s">
        <v>87</v>
      </c>
      <c r="F173" t="s">
        <v>645</v>
      </c>
      <c r="G173" t="s">
        <v>666</v>
      </c>
      <c r="H173" s="4">
        <v>46004</v>
      </c>
      <c r="I173" s="40">
        <v>0.44194444444444442</v>
      </c>
      <c r="J173" t="s">
        <v>626</v>
      </c>
      <c r="M173" t="s">
        <v>627</v>
      </c>
      <c r="N173" t="s">
        <v>628</v>
      </c>
    </row>
    <row r="174" spans="1:14" x14ac:dyDescent="0.25">
      <c r="A174" t="s">
        <v>850</v>
      </c>
      <c r="B174">
        <v>452861</v>
      </c>
      <c r="C174">
        <v>1741</v>
      </c>
      <c r="D174" t="s">
        <v>620</v>
      </c>
      <c r="E174" t="s">
        <v>87</v>
      </c>
      <c r="F174" t="s">
        <v>647</v>
      </c>
      <c r="G174" t="s">
        <v>625</v>
      </c>
      <c r="H174" s="4">
        <v>46004</v>
      </c>
      <c r="I174" s="40">
        <v>0.44194444444444442</v>
      </c>
      <c r="J174" t="s">
        <v>626</v>
      </c>
      <c r="M174" t="s">
        <v>627</v>
      </c>
      <c r="N174" t="s">
        <v>628</v>
      </c>
    </row>
    <row r="175" spans="1:14" x14ac:dyDescent="0.25">
      <c r="A175" t="s">
        <v>851</v>
      </c>
      <c r="B175">
        <v>452366</v>
      </c>
      <c r="C175">
        <v>1741</v>
      </c>
      <c r="D175" t="s">
        <v>69</v>
      </c>
      <c r="E175" t="s">
        <v>11</v>
      </c>
      <c r="F175" t="s">
        <v>624</v>
      </c>
      <c r="G175" t="s">
        <v>625</v>
      </c>
      <c r="H175" s="4">
        <v>46004</v>
      </c>
      <c r="I175" s="40">
        <v>0.44218750000000001</v>
      </c>
      <c r="J175" t="s">
        <v>626</v>
      </c>
      <c r="M175" t="s">
        <v>627</v>
      </c>
      <c r="N175" t="s">
        <v>628</v>
      </c>
    </row>
    <row r="176" spans="1:14" x14ac:dyDescent="0.25">
      <c r="A176" t="s">
        <v>852</v>
      </c>
      <c r="B176">
        <v>452366</v>
      </c>
      <c r="C176">
        <v>1741</v>
      </c>
      <c r="D176" t="s">
        <v>69</v>
      </c>
      <c r="E176" t="s">
        <v>11</v>
      </c>
      <c r="F176" t="s">
        <v>630</v>
      </c>
      <c r="G176" t="s">
        <v>625</v>
      </c>
      <c r="H176" s="4">
        <v>46004</v>
      </c>
      <c r="I176" s="40">
        <v>0.44219907407407405</v>
      </c>
      <c r="J176" t="s">
        <v>626</v>
      </c>
      <c r="M176" t="s">
        <v>627</v>
      </c>
      <c r="N176" t="s">
        <v>628</v>
      </c>
    </row>
    <row r="177" spans="1:14" x14ac:dyDescent="0.25">
      <c r="A177" t="s">
        <v>853</v>
      </c>
      <c r="B177">
        <v>452366</v>
      </c>
      <c r="C177">
        <v>1741</v>
      </c>
      <c r="D177" t="s">
        <v>69</v>
      </c>
      <c r="E177" t="s">
        <v>11</v>
      </c>
      <c r="F177" t="s">
        <v>632</v>
      </c>
      <c r="G177" t="s">
        <v>625</v>
      </c>
      <c r="H177" s="4">
        <v>46004</v>
      </c>
      <c r="I177" s="40">
        <v>0.44221064814814814</v>
      </c>
      <c r="J177" t="s">
        <v>626</v>
      </c>
      <c r="M177" t="s">
        <v>627</v>
      </c>
      <c r="N177" t="s">
        <v>628</v>
      </c>
    </row>
    <row r="178" spans="1:14" x14ac:dyDescent="0.25">
      <c r="A178" t="s">
        <v>854</v>
      </c>
      <c r="B178">
        <v>452366</v>
      </c>
      <c r="C178">
        <v>1741</v>
      </c>
      <c r="D178" t="s">
        <v>69</v>
      </c>
      <c r="E178" t="s">
        <v>11</v>
      </c>
      <c r="F178" t="s">
        <v>634</v>
      </c>
      <c r="G178" t="s">
        <v>625</v>
      </c>
      <c r="H178" s="4">
        <v>46004</v>
      </c>
      <c r="I178" s="40">
        <v>0.44221064814814814</v>
      </c>
      <c r="J178" t="s">
        <v>626</v>
      </c>
      <c r="M178" t="s">
        <v>627</v>
      </c>
      <c r="N178" t="s">
        <v>628</v>
      </c>
    </row>
    <row r="179" spans="1:14" x14ac:dyDescent="0.25">
      <c r="A179" t="s">
        <v>855</v>
      </c>
      <c r="B179">
        <v>452366</v>
      </c>
      <c r="C179">
        <v>1741</v>
      </c>
      <c r="D179" t="s">
        <v>69</v>
      </c>
      <c r="E179" t="s">
        <v>11</v>
      </c>
      <c r="F179" t="s">
        <v>636</v>
      </c>
      <c r="G179" t="s">
        <v>625</v>
      </c>
      <c r="H179" s="4">
        <v>46004</v>
      </c>
      <c r="I179" s="40">
        <v>0.44222222222222224</v>
      </c>
      <c r="J179" t="s">
        <v>626</v>
      </c>
      <c r="M179" t="s">
        <v>627</v>
      </c>
      <c r="N179" t="s">
        <v>628</v>
      </c>
    </row>
    <row r="180" spans="1:14" x14ac:dyDescent="0.25">
      <c r="A180" t="s">
        <v>856</v>
      </c>
      <c r="B180">
        <v>452366</v>
      </c>
      <c r="C180">
        <v>1741</v>
      </c>
      <c r="D180" t="s">
        <v>69</v>
      </c>
      <c r="E180" t="s">
        <v>11</v>
      </c>
      <c r="F180" t="s">
        <v>761</v>
      </c>
      <c r="G180" t="s">
        <v>625</v>
      </c>
      <c r="H180" s="4">
        <v>46004</v>
      </c>
      <c r="I180" s="40">
        <v>0.44223379629629628</v>
      </c>
      <c r="J180" t="s">
        <v>626</v>
      </c>
      <c r="M180" t="s">
        <v>627</v>
      </c>
      <c r="N180" t="s">
        <v>628</v>
      </c>
    </row>
    <row r="181" spans="1:14" x14ac:dyDescent="0.25">
      <c r="A181" t="s">
        <v>857</v>
      </c>
      <c r="B181">
        <v>452366</v>
      </c>
      <c r="C181">
        <v>1741</v>
      </c>
      <c r="D181" t="s">
        <v>69</v>
      </c>
      <c r="E181" t="s">
        <v>11</v>
      </c>
      <c r="F181" t="s">
        <v>642</v>
      </c>
      <c r="G181" t="s">
        <v>625</v>
      </c>
      <c r="H181" s="4">
        <v>46004</v>
      </c>
      <c r="I181" s="40">
        <v>0.44223379629629628</v>
      </c>
      <c r="J181" t="s">
        <v>626</v>
      </c>
      <c r="M181" t="s">
        <v>627</v>
      </c>
      <c r="N181" t="s">
        <v>628</v>
      </c>
    </row>
    <row r="182" spans="1:14" x14ac:dyDescent="0.25">
      <c r="A182" t="s">
        <v>858</v>
      </c>
      <c r="B182">
        <v>452366</v>
      </c>
      <c r="C182">
        <v>1741</v>
      </c>
      <c r="D182" t="s">
        <v>69</v>
      </c>
      <c r="E182" t="s">
        <v>11</v>
      </c>
      <c r="F182" t="s">
        <v>645</v>
      </c>
      <c r="G182" t="s">
        <v>643</v>
      </c>
      <c r="H182" s="4">
        <v>46004</v>
      </c>
      <c r="I182" s="40">
        <v>0.44224537037037037</v>
      </c>
      <c r="J182" t="s">
        <v>626</v>
      </c>
      <c r="M182" t="s">
        <v>627</v>
      </c>
      <c r="N182" t="s">
        <v>628</v>
      </c>
    </row>
    <row r="183" spans="1:14" x14ac:dyDescent="0.25">
      <c r="A183" t="s">
        <v>859</v>
      </c>
      <c r="B183">
        <v>452366</v>
      </c>
      <c r="C183">
        <v>1741</v>
      </c>
      <c r="D183" t="s">
        <v>69</v>
      </c>
      <c r="E183" t="s">
        <v>11</v>
      </c>
      <c r="F183" t="s">
        <v>647</v>
      </c>
      <c r="G183" t="s">
        <v>625</v>
      </c>
      <c r="H183" s="4">
        <v>46004</v>
      </c>
      <c r="I183" s="40">
        <v>0.44225694444444447</v>
      </c>
      <c r="J183" t="s">
        <v>626</v>
      </c>
      <c r="M183" t="s">
        <v>627</v>
      </c>
      <c r="N183" t="s">
        <v>628</v>
      </c>
    </row>
    <row r="184" spans="1:14" x14ac:dyDescent="0.25">
      <c r="A184" t="s">
        <v>860</v>
      </c>
      <c r="B184">
        <v>452366</v>
      </c>
      <c r="C184">
        <v>1741</v>
      </c>
      <c r="D184" t="s">
        <v>69</v>
      </c>
      <c r="E184" t="s">
        <v>11</v>
      </c>
      <c r="F184" t="s">
        <v>624</v>
      </c>
      <c r="G184" t="s">
        <v>625</v>
      </c>
      <c r="H184" s="4">
        <v>46004</v>
      </c>
      <c r="I184" s="40">
        <v>0.44605324074074076</v>
      </c>
      <c r="J184" t="s">
        <v>626</v>
      </c>
      <c r="M184" t="s">
        <v>627</v>
      </c>
      <c r="N184" t="s">
        <v>628</v>
      </c>
    </row>
    <row r="185" spans="1:14" x14ac:dyDescent="0.25">
      <c r="A185" t="s">
        <v>861</v>
      </c>
      <c r="B185">
        <v>452366</v>
      </c>
      <c r="C185">
        <v>1741</v>
      </c>
      <c r="D185" t="s">
        <v>69</v>
      </c>
      <c r="E185" t="s">
        <v>11</v>
      </c>
      <c r="F185" t="s">
        <v>630</v>
      </c>
      <c r="G185" t="s">
        <v>625</v>
      </c>
      <c r="H185" s="4">
        <v>46004</v>
      </c>
      <c r="I185" s="40">
        <v>0.4460648148148148</v>
      </c>
      <c r="J185" t="s">
        <v>626</v>
      </c>
      <c r="M185" t="s">
        <v>627</v>
      </c>
      <c r="N185" t="s">
        <v>628</v>
      </c>
    </row>
    <row r="186" spans="1:14" x14ac:dyDescent="0.25">
      <c r="A186" t="s">
        <v>862</v>
      </c>
      <c r="B186">
        <v>452366</v>
      </c>
      <c r="C186">
        <v>1741</v>
      </c>
      <c r="D186" t="s">
        <v>69</v>
      </c>
      <c r="E186" t="s">
        <v>11</v>
      </c>
      <c r="F186" t="s">
        <v>632</v>
      </c>
      <c r="G186" t="s">
        <v>625</v>
      </c>
      <c r="H186" s="4">
        <v>46004</v>
      </c>
      <c r="I186" s="40">
        <v>0.4460763888888889</v>
      </c>
      <c r="J186" t="s">
        <v>626</v>
      </c>
      <c r="M186" t="s">
        <v>627</v>
      </c>
      <c r="N186" t="s">
        <v>628</v>
      </c>
    </row>
    <row r="187" spans="1:14" x14ac:dyDescent="0.25">
      <c r="A187" t="s">
        <v>863</v>
      </c>
      <c r="B187">
        <v>452366</v>
      </c>
      <c r="C187">
        <v>1741</v>
      </c>
      <c r="D187" t="s">
        <v>69</v>
      </c>
      <c r="E187" t="s">
        <v>11</v>
      </c>
      <c r="F187" t="s">
        <v>634</v>
      </c>
      <c r="G187" t="s">
        <v>625</v>
      </c>
      <c r="H187" s="4">
        <v>46004</v>
      </c>
      <c r="I187" s="40">
        <v>0.44608796296296294</v>
      </c>
      <c r="J187" t="s">
        <v>626</v>
      </c>
      <c r="M187" t="s">
        <v>627</v>
      </c>
      <c r="N187" t="s">
        <v>628</v>
      </c>
    </row>
    <row r="188" spans="1:14" x14ac:dyDescent="0.25">
      <c r="A188" t="s">
        <v>864</v>
      </c>
      <c r="B188">
        <v>452366</v>
      </c>
      <c r="C188">
        <v>1741</v>
      </c>
      <c r="D188" t="s">
        <v>69</v>
      </c>
      <c r="E188" t="s">
        <v>11</v>
      </c>
      <c r="F188" t="s">
        <v>636</v>
      </c>
      <c r="G188" t="s">
        <v>625</v>
      </c>
      <c r="H188" s="4">
        <v>46004</v>
      </c>
      <c r="I188" s="40">
        <v>0.44608796296296294</v>
      </c>
      <c r="J188" t="s">
        <v>626</v>
      </c>
      <c r="M188" t="s">
        <v>627</v>
      </c>
      <c r="N188" t="s">
        <v>628</v>
      </c>
    </row>
    <row r="189" spans="1:14" x14ac:dyDescent="0.25">
      <c r="A189" t="s">
        <v>865</v>
      </c>
      <c r="B189">
        <v>452366</v>
      </c>
      <c r="C189">
        <v>1741</v>
      </c>
      <c r="D189" t="s">
        <v>69</v>
      </c>
      <c r="E189" t="s">
        <v>11</v>
      </c>
      <c r="F189" t="s">
        <v>761</v>
      </c>
      <c r="G189" t="s">
        <v>625</v>
      </c>
      <c r="H189" s="4">
        <v>46004</v>
      </c>
      <c r="I189" s="40">
        <v>0.44609953703703703</v>
      </c>
      <c r="J189" t="s">
        <v>626</v>
      </c>
      <c r="M189" t="s">
        <v>627</v>
      </c>
      <c r="N189" t="s">
        <v>628</v>
      </c>
    </row>
    <row r="190" spans="1:14" x14ac:dyDescent="0.25">
      <c r="A190" t="s">
        <v>866</v>
      </c>
      <c r="B190">
        <v>452366</v>
      </c>
      <c r="C190">
        <v>1741</v>
      </c>
      <c r="D190" t="s">
        <v>69</v>
      </c>
      <c r="E190" t="s">
        <v>11</v>
      </c>
      <c r="F190" t="s">
        <v>642</v>
      </c>
      <c r="G190" t="s">
        <v>625</v>
      </c>
      <c r="H190" s="4">
        <v>46004</v>
      </c>
      <c r="I190" s="40">
        <v>0.44611111111111112</v>
      </c>
      <c r="J190" t="s">
        <v>626</v>
      </c>
      <c r="M190" t="s">
        <v>627</v>
      </c>
      <c r="N190" t="s">
        <v>628</v>
      </c>
    </row>
    <row r="191" spans="1:14" x14ac:dyDescent="0.25">
      <c r="A191" t="s">
        <v>867</v>
      </c>
      <c r="B191">
        <v>452366</v>
      </c>
      <c r="C191">
        <v>1741</v>
      </c>
      <c r="D191" t="s">
        <v>69</v>
      </c>
      <c r="E191" t="s">
        <v>11</v>
      </c>
      <c r="F191" t="s">
        <v>645</v>
      </c>
      <c r="G191" t="s">
        <v>643</v>
      </c>
      <c r="H191" s="4">
        <v>46004</v>
      </c>
      <c r="I191" s="40">
        <v>0.44612268518518516</v>
      </c>
      <c r="J191" t="s">
        <v>626</v>
      </c>
      <c r="M191" t="s">
        <v>627</v>
      </c>
      <c r="N191" t="s">
        <v>628</v>
      </c>
    </row>
    <row r="192" spans="1:14" x14ac:dyDescent="0.25">
      <c r="A192" t="s">
        <v>868</v>
      </c>
      <c r="B192">
        <v>452366</v>
      </c>
      <c r="C192">
        <v>1741</v>
      </c>
      <c r="D192" t="s">
        <v>69</v>
      </c>
      <c r="E192" t="s">
        <v>11</v>
      </c>
      <c r="F192" t="s">
        <v>647</v>
      </c>
      <c r="G192" t="s">
        <v>625</v>
      </c>
      <c r="H192" s="4">
        <v>46004</v>
      </c>
      <c r="I192" s="40">
        <v>0.44612268518518516</v>
      </c>
      <c r="J192" t="s">
        <v>626</v>
      </c>
      <c r="M192" t="s">
        <v>627</v>
      </c>
      <c r="N192" t="s">
        <v>628</v>
      </c>
    </row>
    <row r="193" spans="1:14" x14ac:dyDescent="0.25">
      <c r="A193" t="s">
        <v>869</v>
      </c>
      <c r="B193">
        <v>452861</v>
      </c>
      <c r="C193">
        <v>1741</v>
      </c>
      <c r="D193" t="s">
        <v>620</v>
      </c>
      <c r="E193" t="s">
        <v>87</v>
      </c>
      <c r="F193" t="s">
        <v>624</v>
      </c>
      <c r="G193" t="s">
        <v>625</v>
      </c>
      <c r="H193" s="4">
        <v>46004</v>
      </c>
      <c r="I193" s="40">
        <v>0.44965277777777779</v>
      </c>
      <c r="J193" t="s">
        <v>626</v>
      </c>
      <c r="M193" t="s">
        <v>627</v>
      </c>
      <c r="N193" t="s">
        <v>628</v>
      </c>
    </row>
    <row r="194" spans="1:14" x14ac:dyDescent="0.25">
      <c r="A194" t="s">
        <v>870</v>
      </c>
      <c r="B194">
        <v>452861</v>
      </c>
      <c r="C194">
        <v>1741</v>
      </c>
      <c r="D194" t="s">
        <v>620</v>
      </c>
      <c r="E194" t="s">
        <v>87</v>
      </c>
      <c r="F194" t="s">
        <v>630</v>
      </c>
      <c r="G194" t="s">
        <v>625</v>
      </c>
      <c r="H194" s="4">
        <v>46004</v>
      </c>
      <c r="I194" s="40">
        <v>0.44965277777777779</v>
      </c>
      <c r="J194" t="s">
        <v>626</v>
      </c>
      <c r="M194" t="s">
        <v>627</v>
      </c>
      <c r="N194" t="s">
        <v>628</v>
      </c>
    </row>
    <row r="195" spans="1:14" x14ac:dyDescent="0.25">
      <c r="A195" t="s">
        <v>871</v>
      </c>
      <c r="B195">
        <v>452861</v>
      </c>
      <c r="C195">
        <v>1741</v>
      </c>
      <c r="D195" t="s">
        <v>620</v>
      </c>
      <c r="E195" t="s">
        <v>87</v>
      </c>
      <c r="F195" t="s">
        <v>632</v>
      </c>
      <c r="G195" t="s">
        <v>625</v>
      </c>
      <c r="H195" s="4">
        <v>46004</v>
      </c>
      <c r="I195" s="40">
        <v>0.44966435185185183</v>
      </c>
      <c r="J195" t="s">
        <v>626</v>
      </c>
      <c r="M195" t="s">
        <v>627</v>
      </c>
      <c r="N195" t="s">
        <v>628</v>
      </c>
    </row>
    <row r="196" spans="1:14" x14ac:dyDescent="0.25">
      <c r="A196" t="s">
        <v>872</v>
      </c>
      <c r="B196">
        <v>452861</v>
      </c>
      <c r="C196">
        <v>1741</v>
      </c>
      <c r="D196" t="s">
        <v>620</v>
      </c>
      <c r="E196" t="s">
        <v>87</v>
      </c>
      <c r="F196" t="s">
        <v>634</v>
      </c>
      <c r="G196" t="s">
        <v>625</v>
      </c>
      <c r="H196" s="4">
        <v>46004</v>
      </c>
      <c r="I196" s="40">
        <v>0.44967592592592592</v>
      </c>
      <c r="J196" t="s">
        <v>626</v>
      </c>
      <c r="M196" t="s">
        <v>627</v>
      </c>
      <c r="N196" t="s">
        <v>628</v>
      </c>
    </row>
    <row r="197" spans="1:14" x14ac:dyDescent="0.25">
      <c r="A197" t="s">
        <v>873</v>
      </c>
      <c r="B197">
        <v>452861</v>
      </c>
      <c r="C197">
        <v>1741</v>
      </c>
      <c r="D197" t="s">
        <v>620</v>
      </c>
      <c r="E197" t="s">
        <v>87</v>
      </c>
      <c r="F197" t="s">
        <v>636</v>
      </c>
      <c r="G197" t="s">
        <v>625</v>
      </c>
      <c r="H197" s="4">
        <v>46004</v>
      </c>
      <c r="I197" s="40">
        <v>0.44968750000000002</v>
      </c>
      <c r="J197" t="s">
        <v>626</v>
      </c>
      <c r="M197" t="s">
        <v>627</v>
      </c>
      <c r="N197" t="s">
        <v>628</v>
      </c>
    </row>
    <row r="198" spans="1:14" x14ac:dyDescent="0.25">
      <c r="A198" t="s">
        <v>874</v>
      </c>
      <c r="B198">
        <v>452861</v>
      </c>
      <c r="C198">
        <v>1741</v>
      </c>
      <c r="D198" t="s">
        <v>620</v>
      </c>
      <c r="E198" t="s">
        <v>87</v>
      </c>
      <c r="F198" t="s">
        <v>761</v>
      </c>
      <c r="G198" t="s">
        <v>625</v>
      </c>
      <c r="H198" s="4">
        <v>46004</v>
      </c>
      <c r="I198" s="40">
        <v>0.44968750000000002</v>
      </c>
      <c r="J198" t="s">
        <v>626</v>
      </c>
      <c r="M198" t="s">
        <v>627</v>
      </c>
      <c r="N198" t="s">
        <v>628</v>
      </c>
    </row>
    <row r="199" spans="1:14" x14ac:dyDescent="0.25">
      <c r="A199" t="s">
        <v>875</v>
      </c>
      <c r="B199">
        <v>452861</v>
      </c>
      <c r="C199">
        <v>1741</v>
      </c>
      <c r="D199" t="s">
        <v>620</v>
      </c>
      <c r="E199" t="s">
        <v>87</v>
      </c>
      <c r="F199" t="s">
        <v>642</v>
      </c>
      <c r="G199" t="s">
        <v>625</v>
      </c>
      <c r="H199" s="4">
        <v>46004</v>
      </c>
      <c r="I199" s="40">
        <v>0.44969907407407406</v>
      </c>
      <c r="J199" t="s">
        <v>626</v>
      </c>
      <c r="M199" t="s">
        <v>627</v>
      </c>
      <c r="N199" t="s">
        <v>628</v>
      </c>
    </row>
    <row r="200" spans="1:14" x14ac:dyDescent="0.25">
      <c r="A200" t="s">
        <v>876</v>
      </c>
      <c r="B200">
        <v>452861</v>
      </c>
      <c r="C200">
        <v>1741</v>
      </c>
      <c r="D200" t="s">
        <v>620</v>
      </c>
      <c r="E200" t="s">
        <v>87</v>
      </c>
      <c r="F200" t="s">
        <v>645</v>
      </c>
      <c r="G200" t="s">
        <v>625</v>
      </c>
      <c r="H200" s="4">
        <v>46004</v>
      </c>
      <c r="I200" s="40">
        <v>0.44971064814814815</v>
      </c>
      <c r="J200" t="s">
        <v>626</v>
      </c>
      <c r="M200" t="s">
        <v>627</v>
      </c>
      <c r="N200" t="s">
        <v>628</v>
      </c>
    </row>
    <row r="201" spans="1:14" x14ac:dyDescent="0.25">
      <c r="A201" t="s">
        <v>877</v>
      </c>
      <c r="B201">
        <v>452861</v>
      </c>
      <c r="C201">
        <v>1741</v>
      </c>
      <c r="D201" t="s">
        <v>620</v>
      </c>
      <c r="E201" t="s">
        <v>87</v>
      </c>
      <c r="F201" t="s">
        <v>647</v>
      </c>
      <c r="G201" t="s">
        <v>625</v>
      </c>
      <c r="H201" s="4">
        <v>46004</v>
      </c>
      <c r="I201" s="40">
        <v>0.44972222222222225</v>
      </c>
      <c r="J201" t="s">
        <v>626</v>
      </c>
      <c r="M201" t="s">
        <v>627</v>
      </c>
      <c r="N201" t="s">
        <v>628</v>
      </c>
    </row>
    <row r="202" spans="1:14" x14ac:dyDescent="0.25">
      <c r="A202" t="s">
        <v>878</v>
      </c>
      <c r="B202">
        <v>452861</v>
      </c>
      <c r="C202">
        <v>1741</v>
      </c>
      <c r="D202" t="s">
        <v>620</v>
      </c>
      <c r="E202" t="s">
        <v>87</v>
      </c>
      <c r="F202" t="s">
        <v>624</v>
      </c>
      <c r="G202" t="s">
        <v>625</v>
      </c>
      <c r="H202" s="4">
        <v>46004</v>
      </c>
      <c r="I202" s="40">
        <v>0.44983796296296297</v>
      </c>
      <c r="J202" t="s">
        <v>626</v>
      </c>
      <c r="M202" t="s">
        <v>627</v>
      </c>
      <c r="N202" t="s">
        <v>628</v>
      </c>
    </row>
    <row r="203" spans="1:14" x14ac:dyDescent="0.25">
      <c r="A203" t="s">
        <v>879</v>
      </c>
      <c r="B203">
        <v>452861</v>
      </c>
      <c r="C203">
        <v>1741</v>
      </c>
      <c r="D203" t="s">
        <v>620</v>
      </c>
      <c r="E203" t="s">
        <v>87</v>
      </c>
      <c r="F203" t="s">
        <v>630</v>
      </c>
      <c r="G203" t="s">
        <v>625</v>
      </c>
      <c r="H203" s="4">
        <v>46004</v>
      </c>
      <c r="I203" s="40">
        <v>0.44984953703703706</v>
      </c>
      <c r="J203" t="s">
        <v>626</v>
      </c>
      <c r="M203" t="s">
        <v>627</v>
      </c>
      <c r="N203" t="s">
        <v>628</v>
      </c>
    </row>
    <row r="204" spans="1:14" x14ac:dyDescent="0.25">
      <c r="A204" t="s">
        <v>880</v>
      </c>
      <c r="B204">
        <v>452861</v>
      </c>
      <c r="C204">
        <v>1741</v>
      </c>
      <c r="D204" t="s">
        <v>620</v>
      </c>
      <c r="E204" t="s">
        <v>87</v>
      </c>
      <c r="F204" t="s">
        <v>632</v>
      </c>
      <c r="G204" t="s">
        <v>625</v>
      </c>
      <c r="H204" s="4">
        <v>46004</v>
      </c>
      <c r="I204" s="40">
        <v>0.44984953703703706</v>
      </c>
      <c r="J204" t="s">
        <v>626</v>
      </c>
      <c r="M204" t="s">
        <v>627</v>
      </c>
      <c r="N204" t="s">
        <v>628</v>
      </c>
    </row>
    <row r="205" spans="1:14" x14ac:dyDescent="0.25">
      <c r="A205" t="s">
        <v>881</v>
      </c>
      <c r="B205">
        <v>452861</v>
      </c>
      <c r="C205">
        <v>1741</v>
      </c>
      <c r="D205" t="s">
        <v>620</v>
      </c>
      <c r="E205" t="s">
        <v>87</v>
      </c>
      <c r="F205" t="s">
        <v>634</v>
      </c>
      <c r="G205" t="s">
        <v>625</v>
      </c>
      <c r="H205" s="4">
        <v>46004</v>
      </c>
      <c r="I205" s="40">
        <v>0.4498611111111111</v>
      </c>
      <c r="J205" t="s">
        <v>626</v>
      </c>
      <c r="M205" t="s">
        <v>627</v>
      </c>
      <c r="N205" t="s">
        <v>628</v>
      </c>
    </row>
    <row r="206" spans="1:14" x14ac:dyDescent="0.25">
      <c r="A206" t="s">
        <v>882</v>
      </c>
      <c r="B206">
        <v>452861</v>
      </c>
      <c r="C206">
        <v>1741</v>
      </c>
      <c r="D206" t="s">
        <v>620</v>
      </c>
      <c r="E206" t="s">
        <v>87</v>
      </c>
      <c r="F206" t="s">
        <v>636</v>
      </c>
      <c r="G206" t="s">
        <v>625</v>
      </c>
      <c r="H206" s="4">
        <v>46004</v>
      </c>
      <c r="I206" s="40">
        <v>0.44987268518518519</v>
      </c>
      <c r="J206" t="s">
        <v>626</v>
      </c>
      <c r="M206" t="s">
        <v>627</v>
      </c>
      <c r="N206" t="s">
        <v>628</v>
      </c>
    </row>
    <row r="207" spans="1:14" x14ac:dyDescent="0.25">
      <c r="A207" t="s">
        <v>883</v>
      </c>
      <c r="B207">
        <v>452861</v>
      </c>
      <c r="C207">
        <v>1741</v>
      </c>
      <c r="D207" t="s">
        <v>620</v>
      </c>
      <c r="E207" t="s">
        <v>87</v>
      </c>
      <c r="F207" t="s">
        <v>761</v>
      </c>
      <c r="G207" t="s">
        <v>625</v>
      </c>
      <c r="H207" s="4">
        <v>46004</v>
      </c>
      <c r="I207" s="40">
        <v>0.44988425925925923</v>
      </c>
      <c r="J207" t="s">
        <v>626</v>
      </c>
      <c r="M207" t="s">
        <v>627</v>
      </c>
      <c r="N207" t="s">
        <v>628</v>
      </c>
    </row>
    <row r="208" spans="1:14" x14ac:dyDescent="0.25">
      <c r="A208" t="s">
        <v>884</v>
      </c>
      <c r="B208">
        <v>452861</v>
      </c>
      <c r="C208">
        <v>1741</v>
      </c>
      <c r="D208" t="s">
        <v>620</v>
      </c>
      <c r="E208" t="s">
        <v>87</v>
      </c>
      <c r="F208" t="s">
        <v>642</v>
      </c>
      <c r="G208" t="s">
        <v>625</v>
      </c>
      <c r="H208" s="4">
        <v>46004</v>
      </c>
      <c r="I208" s="40">
        <v>0.44988425925925923</v>
      </c>
      <c r="J208" t="s">
        <v>626</v>
      </c>
      <c r="M208" t="s">
        <v>627</v>
      </c>
      <c r="N208" t="s">
        <v>628</v>
      </c>
    </row>
    <row r="209" spans="1:14" x14ac:dyDescent="0.25">
      <c r="A209" t="s">
        <v>885</v>
      </c>
      <c r="B209">
        <v>452861</v>
      </c>
      <c r="C209">
        <v>1741</v>
      </c>
      <c r="D209" t="s">
        <v>620</v>
      </c>
      <c r="E209" t="s">
        <v>87</v>
      </c>
      <c r="F209" t="s">
        <v>645</v>
      </c>
      <c r="G209" t="s">
        <v>666</v>
      </c>
      <c r="H209" s="4">
        <v>46004</v>
      </c>
      <c r="I209" s="40">
        <v>0.44989583333333333</v>
      </c>
      <c r="J209" t="s">
        <v>626</v>
      </c>
      <c r="M209" t="s">
        <v>627</v>
      </c>
      <c r="N209" t="s">
        <v>628</v>
      </c>
    </row>
    <row r="210" spans="1:14" x14ac:dyDescent="0.25">
      <c r="A210" t="s">
        <v>886</v>
      </c>
      <c r="B210">
        <v>452861</v>
      </c>
      <c r="C210">
        <v>1741</v>
      </c>
      <c r="D210" t="s">
        <v>620</v>
      </c>
      <c r="E210" t="s">
        <v>87</v>
      </c>
      <c r="F210" t="s">
        <v>647</v>
      </c>
      <c r="G210" t="s">
        <v>625</v>
      </c>
      <c r="H210" s="4">
        <v>46004</v>
      </c>
      <c r="I210" s="40">
        <v>0.44990740740740742</v>
      </c>
      <c r="J210" t="s">
        <v>626</v>
      </c>
      <c r="M210" t="s">
        <v>627</v>
      </c>
      <c r="N210" t="s">
        <v>628</v>
      </c>
    </row>
    <row r="211" spans="1:14" x14ac:dyDescent="0.25">
      <c r="A211" t="s">
        <v>887</v>
      </c>
      <c r="B211">
        <v>452590</v>
      </c>
      <c r="C211">
        <v>1741</v>
      </c>
      <c r="D211" t="s">
        <v>107</v>
      </c>
      <c r="E211" t="s">
        <v>87</v>
      </c>
      <c r="F211" t="s">
        <v>624</v>
      </c>
      <c r="G211" t="s">
        <v>625</v>
      </c>
      <c r="H211" s="4">
        <v>46004</v>
      </c>
      <c r="I211" s="40">
        <v>0.45932870370370371</v>
      </c>
      <c r="J211" t="s">
        <v>626</v>
      </c>
      <c r="M211" t="s">
        <v>627</v>
      </c>
      <c r="N211" t="s">
        <v>628</v>
      </c>
    </row>
    <row r="212" spans="1:14" x14ac:dyDescent="0.25">
      <c r="A212" t="s">
        <v>888</v>
      </c>
      <c r="B212">
        <v>452590</v>
      </c>
      <c r="C212">
        <v>1741</v>
      </c>
      <c r="D212" t="s">
        <v>107</v>
      </c>
      <c r="E212" t="s">
        <v>87</v>
      </c>
      <c r="F212" t="s">
        <v>630</v>
      </c>
      <c r="G212" t="s">
        <v>625</v>
      </c>
      <c r="H212" s="4">
        <v>46004</v>
      </c>
      <c r="I212" s="40">
        <v>0.45934027777777775</v>
      </c>
      <c r="J212" t="s">
        <v>626</v>
      </c>
      <c r="M212" t="s">
        <v>627</v>
      </c>
      <c r="N212" t="s">
        <v>628</v>
      </c>
    </row>
    <row r="213" spans="1:14" x14ac:dyDescent="0.25">
      <c r="A213" t="s">
        <v>889</v>
      </c>
      <c r="B213">
        <v>452590</v>
      </c>
      <c r="C213">
        <v>1741</v>
      </c>
      <c r="D213" t="s">
        <v>107</v>
      </c>
      <c r="E213" t="s">
        <v>87</v>
      </c>
      <c r="F213" t="s">
        <v>632</v>
      </c>
      <c r="G213" t="s">
        <v>625</v>
      </c>
      <c r="H213" s="4">
        <v>46004</v>
      </c>
      <c r="I213" s="40">
        <v>0.45934027777777775</v>
      </c>
      <c r="J213" t="s">
        <v>626</v>
      </c>
      <c r="M213" t="s">
        <v>627</v>
      </c>
      <c r="N213" t="s">
        <v>628</v>
      </c>
    </row>
    <row r="214" spans="1:14" x14ac:dyDescent="0.25">
      <c r="A214" t="s">
        <v>890</v>
      </c>
      <c r="B214">
        <v>452590</v>
      </c>
      <c r="C214">
        <v>1741</v>
      </c>
      <c r="D214" t="s">
        <v>107</v>
      </c>
      <c r="E214" t="s">
        <v>87</v>
      </c>
      <c r="F214" t="s">
        <v>634</v>
      </c>
      <c r="G214" t="s">
        <v>625</v>
      </c>
      <c r="H214" s="4">
        <v>46004</v>
      </c>
      <c r="I214" s="40">
        <v>0.45935185185185184</v>
      </c>
      <c r="J214" t="s">
        <v>626</v>
      </c>
      <c r="M214" t="s">
        <v>627</v>
      </c>
      <c r="N214" t="s">
        <v>628</v>
      </c>
    </row>
    <row r="215" spans="1:14" x14ac:dyDescent="0.25">
      <c r="A215" t="s">
        <v>891</v>
      </c>
      <c r="B215">
        <v>452590</v>
      </c>
      <c r="C215">
        <v>1741</v>
      </c>
      <c r="D215" t="s">
        <v>107</v>
      </c>
      <c r="E215" t="s">
        <v>87</v>
      </c>
      <c r="F215" t="s">
        <v>636</v>
      </c>
      <c r="G215" t="s">
        <v>625</v>
      </c>
      <c r="H215" s="4">
        <v>46004</v>
      </c>
      <c r="I215" s="40">
        <v>0.45936342592592594</v>
      </c>
      <c r="J215" t="s">
        <v>626</v>
      </c>
      <c r="M215" t="s">
        <v>627</v>
      </c>
      <c r="N215" t="s">
        <v>628</v>
      </c>
    </row>
    <row r="216" spans="1:14" x14ac:dyDescent="0.25">
      <c r="A216" t="s">
        <v>892</v>
      </c>
      <c r="B216">
        <v>452590</v>
      </c>
      <c r="C216">
        <v>1741</v>
      </c>
      <c r="D216" t="s">
        <v>107</v>
      </c>
      <c r="E216" t="s">
        <v>87</v>
      </c>
      <c r="F216" t="s">
        <v>761</v>
      </c>
      <c r="G216" t="s">
        <v>639</v>
      </c>
      <c r="H216" s="4">
        <v>46004</v>
      </c>
      <c r="I216" s="40">
        <v>0.45937499999999998</v>
      </c>
      <c r="J216" t="s">
        <v>626</v>
      </c>
      <c r="M216" t="s">
        <v>627</v>
      </c>
      <c r="N216" t="s">
        <v>628</v>
      </c>
    </row>
    <row r="217" spans="1:14" x14ac:dyDescent="0.25">
      <c r="A217" t="s">
        <v>893</v>
      </c>
      <c r="B217">
        <v>452590</v>
      </c>
      <c r="C217">
        <v>1741</v>
      </c>
      <c r="D217" t="s">
        <v>107</v>
      </c>
      <c r="E217" t="s">
        <v>87</v>
      </c>
      <c r="F217" t="s">
        <v>642</v>
      </c>
      <c r="G217" t="s">
        <v>625</v>
      </c>
      <c r="H217" s="4">
        <v>46004</v>
      </c>
      <c r="I217" s="40">
        <v>0.45937499999999998</v>
      </c>
      <c r="J217" t="s">
        <v>626</v>
      </c>
      <c r="M217" t="s">
        <v>627</v>
      </c>
      <c r="N217" t="s">
        <v>628</v>
      </c>
    </row>
    <row r="218" spans="1:14" x14ac:dyDescent="0.25">
      <c r="A218" t="s">
        <v>894</v>
      </c>
      <c r="B218">
        <v>452590</v>
      </c>
      <c r="C218">
        <v>1741</v>
      </c>
      <c r="D218" t="s">
        <v>107</v>
      </c>
      <c r="E218" t="s">
        <v>87</v>
      </c>
      <c r="F218" t="s">
        <v>645</v>
      </c>
      <c r="G218" t="s">
        <v>643</v>
      </c>
      <c r="H218" s="4">
        <v>46004</v>
      </c>
      <c r="I218" s="40">
        <v>0.45938657407407407</v>
      </c>
      <c r="J218" t="s">
        <v>626</v>
      </c>
      <c r="M218" t="s">
        <v>627</v>
      </c>
      <c r="N218" t="s">
        <v>628</v>
      </c>
    </row>
    <row r="219" spans="1:14" x14ac:dyDescent="0.25">
      <c r="A219" t="s">
        <v>895</v>
      </c>
      <c r="B219">
        <v>452590</v>
      </c>
      <c r="C219">
        <v>1741</v>
      </c>
      <c r="D219" t="s">
        <v>107</v>
      </c>
      <c r="E219" t="s">
        <v>87</v>
      </c>
      <c r="F219" t="s">
        <v>647</v>
      </c>
      <c r="G219" t="s">
        <v>625</v>
      </c>
      <c r="H219" s="4">
        <v>46004</v>
      </c>
      <c r="I219" s="40">
        <v>0.45939814814814817</v>
      </c>
      <c r="J219" t="s">
        <v>626</v>
      </c>
      <c r="M219" t="s">
        <v>627</v>
      </c>
      <c r="N219" t="s">
        <v>628</v>
      </c>
    </row>
    <row r="220" spans="1:14" x14ac:dyDescent="0.25">
      <c r="A220" t="s">
        <v>896</v>
      </c>
      <c r="B220">
        <v>452590</v>
      </c>
      <c r="C220">
        <v>1741</v>
      </c>
      <c r="D220" t="s">
        <v>107</v>
      </c>
      <c r="E220" t="s">
        <v>87</v>
      </c>
      <c r="F220" t="s">
        <v>624</v>
      </c>
      <c r="G220" t="s">
        <v>625</v>
      </c>
      <c r="H220" s="4">
        <v>46004</v>
      </c>
      <c r="I220" s="40">
        <v>0.45953703703703702</v>
      </c>
      <c r="J220" t="s">
        <v>626</v>
      </c>
      <c r="M220" t="s">
        <v>627</v>
      </c>
      <c r="N220" t="s">
        <v>628</v>
      </c>
    </row>
    <row r="221" spans="1:14" x14ac:dyDescent="0.25">
      <c r="A221" t="s">
        <v>897</v>
      </c>
      <c r="B221">
        <v>452590</v>
      </c>
      <c r="C221">
        <v>1741</v>
      </c>
      <c r="D221" t="s">
        <v>107</v>
      </c>
      <c r="E221" t="s">
        <v>87</v>
      </c>
      <c r="F221" t="s">
        <v>630</v>
      </c>
      <c r="G221" t="s">
        <v>625</v>
      </c>
      <c r="H221" s="4">
        <v>46004</v>
      </c>
      <c r="I221" s="40">
        <v>0.45953703703703702</v>
      </c>
      <c r="J221" t="s">
        <v>626</v>
      </c>
      <c r="M221" t="s">
        <v>627</v>
      </c>
      <c r="N221" t="s">
        <v>628</v>
      </c>
    </row>
    <row r="222" spans="1:14" x14ac:dyDescent="0.25">
      <c r="A222" t="s">
        <v>898</v>
      </c>
      <c r="B222">
        <v>452590</v>
      </c>
      <c r="C222">
        <v>1741</v>
      </c>
      <c r="D222" t="s">
        <v>107</v>
      </c>
      <c r="E222" t="s">
        <v>87</v>
      </c>
      <c r="F222" t="s">
        <v>632</v>
      </c>
      <c r="G222" t="s">
        <v>625</v>
      </c>
      <c r="H222" s="4">
        <v>46004</v>
      </c>
      <c r="I222" s="40">
        <v>0.45954861111111112</v>
      </c>
      <c r="J222" t="s">
        <v>626</v>
      </c>
      <c r="M222" t="s">
        <v>627</v>
      </c>
      <c r="N222" t="s">
        <v>628</v>
      </c>
    </row>
    <row r="223" spans="1:14" x14ac:dyDescent="0.25">
      <c r="A223" t="s">
        <v>899</v>
      </c>
      <c r="B223">
        <v>452590</v>
      </c>
      <c r="C223">
        <v>1741</v>
      </c>
      <c r="D223" t="s">
        <v>107</v>
      </c>
      <c r="E223" t="s">
        <v>87</v>
      </c>
      <c r="F223" t="s">
        <v>634</v>
      </c>
      <c r="G223" t="s">
        <v>625</v>
      </c>
      <c r="H223" s="4">
        <v>46004</v>
      </c>
      <c r="I223" s="40">
        <v>0.45956018518518521</v>
      </c>
      <c r="J223" t="s">
        <v>626</v>
      </c>
      <c r="M223" t="s">
        <v>627</v>
      </c>
      <c r="N223" t="s">
        <v>628</v>
      </c>
    </row>
    <row r="224" spans="1:14" x14ac:dyDescent="0.25">
      <c r="A224" t="s">
        <v>900</v>
      </c>
      <c r="B224">
        <v>452590</v>
      </c>
      <c r="C224">
        <v>1741</v>
      </c>
      <c r="D224" t="s">
        <v>107</v>
      </c>
      <c r="E224" t="s">
        <v>87</v>
      </c>
      <c r="F224" t="s">
        <v>636</v>
      </c>
      <c r="G224" t="s">
        <v>625</v>
      </c>
      <c r="H224" s="4">
        <v>46004</v>
      </c>
      <c r="I224" s="40">
        <v>0.45957175925925925</v>
      </c>
      <c r="J224" t="s">
        <v>626</v>
      </c>
      <c r="M224" t="s">
        <v>627</v>
      </c>
      <c r="N224" t="s">
        <v>628</v>
      </c>
    </row>
    <row r="225" spans="1:14" x14ac:dyDescent="0.25">
      <c r="A225" t="s">
        <v>901</v>
      </c>
      <c r="B225">
        <v>452590</v>
      </c>
      <c r="C225">
        <v>1741</v>
      </c>
      <c r="D225" t="s">
        <v>107</v>
      </c>
      <c r="E225" t="s">
        <v>87</v>
      </c>
      <c r="F225" t="s">
        <v>761</v>
      </c>
      <c r="G225" t="s">
        <v>639</v>
      </c>
      <c r="H225" s="4">
        <v>46004</v>
      </c>
      <c r="I225" s="40">
        <v>0.45957175925925925</v>
      </c>
      <c r="J225" t="s">
        <v>626</v>
      </c>
      <c r="M225" t="s">
        <v>627</v>
      </c>
      <c r="N225" t="s">
        <v>628</v>
      </c>
    </row>
    <row r="226" spans="1:14" x14ac:dyDescent="0.25">
      <c r="A226" t="s">
        <v>902</v>
      </c>
      <c r="B226">
        <v>452590</v>
      </c>
      <c r="C226">
        <v>1741</v>
      </c>
      <c r="D226" t="s">
        <v>107</v>
      </c>
      <c r="E226" t="s">
        <v>87</v>
      </c>
      <c r="F226" t="s">
        <v>642</v>
      </c>
      <c r="G226" t="s">
        <v>625</v>
      </c>
      <c r="H226" s="4">
        <v>46004</v>
      </c>
      <c r="I226" s="40">
        <v>0.45958333333333334</v>
      </c>
      <c r="J226" t="s">
        <v>626</v>
      </c>
      <c r="M226" t="s">
        <v>627</v>
      </c>
      <c r="N226" t="s">
        <v>628</v>
      </c>
    </row>
    <row r="227" spans="1:14" x14ac:dyDescent="0.25">
      <c r="A227" t="s">
        <v>903</v>
      </c>
      <c r="B227">
        <v>452590</v>
      </c>
      <c r="C227">
        <v>1741</v>
      </c>
      <c r="D227" t="s">
        <v>107</v>
      </c>
      <c r="E227" t="s">
        <v>87</v>
      </c>
      <c r="F227" t="s">
        <v>647</v>
      </c>
      <c r="G227" t="s">
        <v>625</v>
      </c>
      <c r="H227" s="4">
        <v>46004</v>
      </c>
      <c r="I227" s="40">
        <v>0.45959490740740738</v>
      </c>
      <c r="J227" t="s">
        <v>626</v>
      </c>
      <c r="M227" t="s">
        <v>627</v>
      </c>
      <c r="N227" t="s">
        <v>628</v>
      </c>
    </row>
    <row r="228" spans="1:14" x14ac:dyDescent="0.25">
      <c r="A228" t="s">
        <v>904</v>
      </c>
      <c r="B228">
        <v>452366</v>
      </c>
      <c r="C228">
        <v>1741</v>
      </c>
      <c r="D228" t="s">
        <v>69</v>
      </c>
      <c r="E228" t="s">
        <v>11</v>
      </c>
      <c r="F228" t="s">
        <v>624</v>
      </c>
      <c r="G228" t="s">
        <v>625</v>
      </c>
      <c r="H228" s="4">
        <v>46004</v>
      </c>
      <c r="I228" s="40">
        <v>0.47006944444444443</v>
      </c>
      <c r="J228" t="s">
        <v>626</v>
      </c>
      <c r="M228" t="s">
        <v>627</v>
      </c>
      <c r="N228" t="s">
        <v>628</v>
      </c>
    </row>
    <row r="229" spans="1:14" x14ac:dyDescent="0.25">
      <c r="A229" t="s">
        <v>905</v>
      </c>
      <c r="B229">
        <v>452366</v>
      </c>
      <c r="C229">
        <v>1741</v>
      </c>
      <c r="D229" t="s">
        <v>69</v>
      </c>
      <c r="E229" t="s">
        <v>11</v>
      </c>
      <c r="F229" t="s">
        <v>630</v>
      </c>
      <c r="G229" t="s">
        <v>625</v>
      </c>
      <c r="H229" s="4">
        <v>46004</v>
      </c>
      <c r="I229" s="40">
        <v>0.47008101851851852</v>
      </c>
      <c r="J229" t="s">
        <v>626</v>
      </c>
      <c r="M229" t="s">
        <v>627</v>
      </c>
      <c r="N229" t="s">
        <v>628</v>
      </c>
    </row>
    <row r="230" spans="1:14" x14ac:dyDescent="0.25">
      <c r="A230" t="s">
        <v>906</v>
      </c>
      <c r="B230">
        <v>452366</v>
      </c>
      <c r="C230">
        <v>1741</v>
      </c>
      <c r="D230" t="s">
        <v>69</v>
      </c>
      <c r="E230" t="s">
        <v>11</v>
      </c>
      <c r="F230" t="s">
        <v>632</v>
      </c>
      <c r="G230" t="s">
        <v>625</v>
      </c>
      <c r="H230" s="4">
        <v>46004</v>
      </c>
      <c r="I230" s="40">
        <v>0.47009259259259262</v>
      </c>
      <c r="J230" t="s">
        <v>626</v>
      </c>
      <c r="M230" t="s">
        <v>627</v>
      </c>
      <c r="N230" t="s">
        <v>628</v>
      </c>
    </row>
    <row r="231" spans="1:14" x14ac:dyDescent="0.25">
      <c r="A231" t="s">
        <v>907</v>
      </c>
      <c r="B231">
        <v>452366</v>
      </c>
      <c r="C231">
        <v>1741</v>
      </c>
      <c r="D231" t="s">
        <v>69</v>
      </c>
      <c r="E231" t="s">
        <v>11</v>
      </c>
      <c r="F231" t="s">
        <v>634</v>
      </c>
      <c r="G231" t="s">
        <v>625</v>
      </c>
      <c r="H231" s="4">
        <v>46004</v>
      </c>
      <c r="I231" s="40">
        <v>0.47009259259259262</v>
      </c>
      <c r="J231" t="s">
        <v>626</v>
      </c>
      <c r="M231" t="s">
        <v>627</v>
      </c>
      <c r="N231" t="s">
        <v>628</v>
      </c>
    </row>
    <row r="232" spans="1:14" x14ac:dyDescent="0.25">
      <c r="A232" t="s">
        <v>908</v>
      </c>
      <c r="B232">
        <v>452366</v>
      </c>
      <c r="C232">
        <v>1741</v>
      </c>
      <c r="D232" t="s">
        <v>69</v>
      </c>
      <c r="E232" t="s">
        <v>11</v>
      </c>
      <c r="F232" t="s">
        <v>636</v>
      </c>
      <c r="G232" t="s">
        <v>625</v>
      </c>
      <c r="H232" s="4">
        <v>46004</v>
      </c>
      <c r="I232" s="40">
        <v>0.47010416666666666</v>
      </c>
      <c r="J232" t="s">
        <v>626</v>
      </c>
      <c r="M232" t="s">
        <v>627</v>
      </c>
      <c r="N232" t="s">
        <v>628</v>
      </c>
    </row>
    <row r="233" spans="1:14" x14ac:dyDescent="0.25">
      <c r="A233" t="s">
        <v>909</v>
      </c>
      <c r="B233">
        <v>452366</v>
      </c>
      <c r="C233">
        <v>1741</v>
      </c>
      <c r="D233" t="s">
        <v>69</v>
      </c>
      <c r="E233" t="s">
        <v>11</v>
      </c>
      <c r="F233" t="s">
        <v>761</v>
      </c>
      <c r="G233" t="s">
        <v>625</v>
      </c>
      <c r="H233" s="4">
        <v>46004</v>
      </c>
      <c r="I233" s="40">
        <v>0.47011574074074075</v>
      </c>
      <c r="J233" t="s">
        <v>626</v>
      </c>
      <c r="M233" t="s">
        <v>627</v>
      </c>
      <c r="N233" t="s">
        <v>628</v>
      </c>
    </row>
    <row r="234" spans="1:14" x14ac:dyDescent="0.25">
      <c r="A234" t="s">
        <v>910</v>
      </c>
      <c r="B234">
        <v>452366</v>
      </c>
      <c r="C234">
        <v>1741</v>
      </c>
      <c r="D234" t="s">
        <v>69</v>
      </c>
      <c r="E234" t="s">
        <v>11</v>
      </c>
      <c r="F234" t="s">
        <v>642</v>
      </c>
      <c r="G234" t="s">
        <v>625</v>
      </c>
      <c r="H234" s="4">
        <v>46004</v>
      </c>
      <c r="I234" s="40">
        <v>0.47012731481481479</v>
      </c>
      <c r="J234" t="s">
        <v>626</v>
      </c>
      <c r="M234" t="s">
        <v>627</v>
      </c>
      <c r="N234" t="s">
        <v>628</v>
      </c>
    </row>
    <row r="235" spans="1:14" x14ac:dyDescent="0.25">
      <c r="A235" t="s">
        <v>911</v>
      </c>
      <c r="B235">
        <v>452366</v>
      </c>
      <c r="C235">
        <v>1741</v>
      </c>
      <c r="D235" t="s">
        <v>69</v>
      </c>
      <c r="E235" t="s">
        <v>11</v>
      </c>
      <c r="F235" t="s">
        <v>645</v>
      </c>
      <c r="G235" t="s">
        <v>643</v>
      </c>
      <c r="H235" s="4">
        <v>46004</v>
      </c>
      <c r="I235" s="40">
        <v>0.47012731481481479</v>
      </c>
      <c r="J235" t="s">
        <v>626</v>
      </c>
      <c r="M235" t="s">
        <v>627</v>
      </c>
      <c r="N235" t="s">
        <v>628</v>
      </c>
    </row>
    <row r="236" spans="1:14" x14ac:dyDescent="0.25">
      <c r="A236" t="s">
        <v>912</v>
      </c>
      <c r="B236">
        <v>452366</v>
      </c>
      <c r="C236">
        <v>1741</v>
      </c>
      <c r="D236" t="s">
        <v>69</v>
      </c>
      <c r="E236" t="s">
        <v>11</v>
      </c>
      <c r="F236" t="s">
        <v>647</v>
      </c>
      <c r="G236" t="s">
        <v>666</v>
      </c>
      <c r="H236" s="4">
        <v>46004</v>
      </c>
      <c r="I236" s="40">
        <v>0.47013888888888888</v>
      </c>
      <c r="J236" t="s">
        <v>626</v>
      </c>
      <c r="M236" t="s">
        <v>627</v>
      </c>
      <c r="N236" t="s">
        <v>628</v>
      </c>
    </row>
    <row r="237" spans="1:14" x14ac:dyDescent="0.25">
      <c r="A237" t="s">
        <v>913</v>
      </c>
      <c r="B237">
        <v>452590</v>
      </c>
      <c r="C237">
        <v>1741</v>
      </c>
      <c r="D237" t="s">
        <v>107</v>
      </c>
      <c r="E237" t="s">
        <v>87</v>
      </c>
      <c r="F237" t="s">
        <v>624</v>
      </c>
      <c r="G237" t="s">
        <v>625</v>
      </c>
      <c r="H237" s="4">
        <v>46004</v>
      </c>
      <c r="I237" s="40">
        <v>0.47091435185185188</v>
      </c>
      <c r="J237" t="s">
        <v>626</v>
      </c>
      <c r="M237" t="s">
        <v>627</v>
      </c>
      <c r="N237" t="s">
        <v>628</v>
      </c>
    </row>
    <row r="238" spans="1:14" x14ac:dyDescent="0.25">
      <c r="A238" t="s">
        <v>914</v>
      </c>
      <c r="B238">
        <v>452590</v>
      </c>
      <c r="C238">
        <v>1741</v>
      </c>
      <c r="D238" t="s">
        <v>107</v>
      </c>
      <c r="E238" t="s">
        <v>87</v>
      </c>
      <c r="F238" t="s">
        <v>630</v>
      </c>
      <c r="G238" t="s">
        <v>625</v>
      </c>
      <c r="H238" s="4">
        <v>46004</v>
      </c>
      <c r="I238" s="40">
        <v>0.47091435185185188</v>
      </c>
      <c r="J238" t="s">
        <v>626</v>
      </c>
      <c r="M238" t="s">
        <v>627</v>
      </c>
      <c r="N238" t="s">
        <v>628</v>
      </c>
    </row>
    <row r="239" spans="1:14" x14ac:dyDescent="0.25">
      <c r="A239" t="s">
        <v>915</v>
      </c>
      <c r="B239">
        <v>452590</v>
      </c>
      <c r="C239">
        <v>1741</v>
      </c>
      <c r="D239" t="s">
        <v>107</v>
      </c>
      <c r="E239" t="s">
        <v>87</v>
      </c>
      <c r="F239" t="s">
        <v>632</v>
      </c>
      <c r="G239" t="s">
        <v>625</v>
      </c>
      <c r="H239" s="4">
        <v>46004</v>
      </c>
      <c r="I239" s="40">
        <v>0.47092592592592591</v>
      </c>
      <c r="J239" t="s">
        <v>626</v>
      </c>
      <c r="M239" t="s">
        <v>627</v>
      </c>
      <c r="N239" t="s">
        <v>628</v>
      </c>
    </row>
    <row r="240" spans="1:14" x14ac:dyDescent="0.25">
      <c r="A240" t="s">
        <v>916</v>
      </c>
      <c r="B240">
        <v>452590</v>
      </c>
      <c r="C240">
        <v>1741</v>
      </c>
      <c r="D240" t="s">
        <v>107</v>
      </c>
      <c r="E240" t="s">
        <v>87</v>
      </c>
      <c r="F240" t="s">
        <v>634</v>
      </c>
      <c r="G240" t="s">
        <v>625</v>
      </c>
      <c r="H240" s="4">
        <v>46004</v>
      </c>
      <c r="I240" s="40">
        <v>0.47093750000000001</v>
      </c>
      <c r="J240" t="s">
        <v>626</v>
      </c>
      <c r="M240" t="s">
        <v>627</v>
      </c>
      <c r="N240" t="s">
        <v>628</v>
      </c>
    </row>
    <row r="241" spans="1:14" x14ac:dyDescent="0.25">
      <c r="A241" t="s">
        <v>917</v>
      </c>
      <c r="B241">
        <v>452590</v>
      </c>
      <c r="C241">
        <v>1741</v>
      </c>
      <c r="D241" t="s">
        <v>107</v>
      </c>
      <c r="E241" t="s">
        <v>87</v>
      </c>
      <c r="F241" t="s">
        <v>636</v>
      </c>
      <c r="G241" t="s">
        <v>625</v>
      </c>
      <c r="H241" s="4">
        <v>46004</v>
      </c>
      <c r="I241" s="40">
        <v>0.47094907407407405</v>
      </c>
      <c r="J241" t="s">
        <v>626</v>
      </c>
      <c r="M241" t="s">
        <v>627</v>
      </c>
      <c r="N241" t="s">
        <v>628</v>
      </c>
    </row>
    <row r="242" spans="1:14" x14ac:dyDescent="0.25">
      <c r="A242" t="s">
        <v>918</v>
      </c>
      <c r="B242">
        <v>452590</v>
      </c>
      <c r="C242">
        <v>1741</v>
      </c>
      <c r="D242" t="s">
        <v>107</v>
      </c>
      <c r="E242" t="s">
        <v>87</v>
      </c>
      <c r="F242" t="s">
        <v>761</v>
      </c>
      <c r="G242" t="s">
        <v>639</v>
      </c>
      <c r="H242" s="4">
        <v>46004</v>
      </c>
      <c r="I242" s="40">
        <v>0.47096064814814814</v>
      </c>
      <c r="J242" t="s">
        <v>626</v>
      </c>
      <c r="M242" t="s">
        <v>627</v>
      </c>
      <c r="N242" t="s">
        <v>628</v>
      </c>
    </row>
    <row r="243" spans="1:14" x14ac:dyDescent="0.25">
      <c r="A243" t="s">
        <v>919</v>
      </c>
      <c r="B243">
        <v>452590</v>
      </c>
      <c r="C243">
        <v>1741</v>
      </c>
      <c r="D243" t="s">
        <v>107</v>
      </c>
      <c r="E243" t="s">
        <v>87</v>
      </c>
      <c r="F243" t="s">
        <v>642</v>
      </c>
      <c r="G243" t="s">
        <v>625</v>
      </c>
      <c r="H243" s="4">
        <v>46004</v>
      </c>
      <c r="I243" s="40">
        <v>0.47096064814814814</v>
      </c>
      <c r="J243" t="s">
        <v>626</v>
      </c>
      <c r="M243" t="s">
        <v>627</v>
      </c>
      <c r="N243" t="s">
        <v>628</v>
      </c>
    </row>
    <row r="244" spans="1:14" x14ac:dyDescent="0.25">
      <c r="A244" t="s">
        <v>920</v>
      </c>
      <c r="B244">
        <v>452590</v>
      </c>
      <c r="C244">
        <v>1741</v>
      </c>
      <c r="D244" t="s">
        <v>107</v>
      </c>
      <c r="E244" t="s">
        <v>87</v>
      </c>
      <c r="F244" t="s">
        <v>645</v>
      </c>
      <c r="G244" t="s">
        <v>643</v>
      </c>
      <c r="H244" s="4">
        <v>46004</v>
      </c>
      <c r="I244" s="40">
        <v>0.47097222222222224</v>
      </c>
      <c r="J244" t="s">
        <v>626</v>
      </c>
      <c r="M244" t="s">
        <v>627</v>
      </c>
      <c r="N244" t="s">
        <v>628</v>
      </c>
    </row>
    <row r="245" spans="1:14" x14ac:dyDescent="0.25">
      <c r="A245" t="s">
        <v>921</v>
      </c>
      <c r="B245">
        <v>452590</v>
      </c>
      <c r="C245">
        <v>1741</v>
      </c>
      <c r="D245" t="s">
        <v>107</v>
      </c>
      <c r="E245" t="s">
        <v>87</v>
      </c>
      <c r="F245" t="s">
        <v>647</v>
      </c>
      <c r="G245" t="s">
        <v>666</v>
      </c>
      <c r="H245" s="4">
        <v>46004</v>
      </c>
      <c r="I245" s="40">
        <v>0.47098379629629628</v>
      </c>
      <c r="J245" t="s">
        <v>626</v>
      </c>
      <c r="M245" t="s">
        <v>627</v>
      </c>
      <c r="N245" t="s">
        <v>628</v>
      </c>
    </row>
    <row r="246" spans="1:14" x14ac:dyDescent="0.25">
      <c r="A246" t="s">
        <v>922</v>
      </c>
      <c r="B246">
        <v>354476</v>
      </c>
      <c r="C246">
        <v>2690</v>
      </c>
      <c r="D246" t="s">
        <v>332</v>
      </c>
      <c r="E246" t="s">
        <v>11</v>
      </c>
      <c r="F246" t="s">
        <v>624</v>
      </c>
      <c r="G246" t="s">
        <v>625</v>
      </c>
      <c r="H246" s="4">
        <v>46004</v>
      </c>
      <c r="I246" s="40">
        <v>0.50275462962962958</v>
      </c>
      <c r="J246" t="s">
        <v>626</v>
      </c>
      <c r="M246" t="s">
        <v>627</v>
      </c>
      <c r="N246" t="s">
        <v>628</v>
      </c>
    </row>
    <row r="247" spans="1:14" x14ac:dyDescent="0.25">
      <c r="A247" t="s">
        <v>923</v>
      </c>
      <c r="B247">
        <v>354476</v>
      </c>
      <c r="C247">
        <v>2690</v>
      </c>
      <c r="D247" t="s">
        <v>332</v>
      </c>
      <c r="E247" t="s">
        <v>11</v>
      </c>
      <c r="F247" t="s">
        <v>630</v>
      </c>
      <c r="G247" t="s">
        <v>643</v>
      </c>
      <c r="H247" s="4">
        <v>46004</v>
      </c>
      <c r="I247" s="40">
        <v>0.50276620370370373</v>
      </c>
      <c r="J247" t="s">
        <v>626</v>
      </c>
      <c r="M247" t="s">
        <v>627</v>
      </c>
      <c r="N247" t="s">
        <v>628</v>
      </c>
    </row>
    <row r="248" spans="1:14" x14ac:dyDescent="0.25">
      <c r="A248" t="s">
        <v>924</v>
      </c>
      <c r="B248">
        <v>354476</v>
      </c>
      <c r="C248">
        <v>2690</v>
      </c>
      <c r="D248" t="s">
        <v>332</v>
      </c>
      <c r="E248" t="s">
        <v>11</v>
      </c>
      <c r="F248" t="s">
        <v>632</v>
      </c>
      <c r="G248" t="s">
        <v>643</v>
      </c>
      <c r="H248" s="4">
        <v>46004</v>
      </c>
      <c r="I248" s="40">
        <v>0.50277777777777777</v>
      </c>
      <c r="J248" t="s">
        <v>626</v>
      </c>
      <c r="M248" t="s">
        <v>627</v>
      </c>
      <c r="N248" t="s">
        <v>628</v>
      </c>
    </row>
    <row r="249" spans="1:14" x14ac:dyDescent="0.25">
      <c r="A249" t="s">
        <v>925</v>
      </c>
      <c r="B249">
        <v>354476</v>
      </c>
      <c r="C249">
        <v>2690</v>
      </c>
      <c r="D249" t="s">
        <v>332</v>
      </c>
      <c r="E249" t="s">
        <v>11</v>
      </c>
      <c r="F249" t="s">
        <v>634</v>
      </c>
      <c r="G249" t="s">
        <v>643</v>
      </c>
      <c r="H249" s="4">
        <v>46004</v>
      </c>
      <c r="I249" s="40">
        <v>0.50278935185185181</v>
      </c>
      <c r="J249" t="s">
        <v>626</v>
      </c>
      <c r="M249" t="s">
        <v>627</v>
      </c>
      <c r="N249" t="s">
        <v>628</v>
      </c>
    </row>
    <row r="250" spans="1:14" x14ac:dyDescent="0.25">
      <c r="A250" t="s">
        <v>926</v>
      </c>
      <c r="B250">
        <v>354476</v>
      </c>
      <c r="C250">
        <v>2690</v>
      </c>
      <c r="D250" t="s">
        <v>332</v>
      </c>
      <c r="E250" t="s">
        <v>11</v>
      </c>
      <c r="F250" t="s">
        <v>636</v>
      </c>
      <c r="G250" t="s">
        <v>643</v>
      </c>
      <c r="H250" s="4">
        <v>46004</v>
      </c>
      <c r="I250" s="40">
        <v>0.50278935185185181</v>
      </c>
      <c r="J250" t="s">
        <v>626</v>
      </c>
      <c r="M250" t="s">
        <v>627</v>
      </c>
      <c r="N250" t="s">
        <v>628</v>
      </c>
    </row>
    <row r="251" spans="1:14" x14ac:dyDescent="0.25">
      <c r="A251" t="s">
        <v>927</v>
      </c>
      <c r="B251">
        <v>354476</v>
      </c>
      <c r="C251">
        <v>2690</v>
      </c>
      <c r="D251" t="s">
        <v>332</v>
      </c>
      <c r="E251" t="s">
        <v>11</v>
      </c>
      <c r="F251" t="s">
        <v>761</v>
      </c>
      <c r="G251" t="s">
        <v>643</v>
      </c>
      <c r="H251" s="4">
        <v>46004</v>
      </c>
      <c r="I251" s="40">
        <v>0.50280092592592596</v>
      </c>
      <c r="J251" t="s">
        <v>626</v>
      </c>
      <c r="M251" t="s">
        <v>627</v>
      </c>
      <c r="N251" t="s">
        <v>628</v>
      </c>
    </row>
    <row r="252" spans="1:14" x14ac:dyDescent="0.25">
      <c r="A252" t="s">
        <v>928</v>
      </c>
      <c r="B252">
        <v>354476</v>
      </c>
      <c r="C252">
        <v>2690</v>
      </c>
      <c r="D252" t="s">
        <v>332</v>
      </c>
      <c r="E252" t="s">
        <v>11</v>
      </c>
      <c r="F252" t="s">
        <v>642</v>
      </c>
      <c r="G252" t="s">
        <v>643</v>
      </c>
      <c r="H252" s="4">
        <v>46004</v>
      </c>
      <c r="I252" s="40">
        <v>0.5028125</v>
      </c>
      <c r="J252" t="s">
        <v>626</v>
      </c>
      <c r="M252" t="s">
        <v>627</v>
      </c>
      <c r="N252" t="s">
        <v>628</v>
      </c>
    </row>
    <row r="253" spans="1:14" x14ac:dyDescent="0.25">
      <c r="A253" t="s">
        <v>929</v>
      </c>
      <c r="B253">
        <v>354476</v>
      </c>
      <c r="C253">
        <v>2690</v>
      </c>
      <c r="D253" t="s">
        <v>332</v>
      </c>
      <c r="E253" t="s">
        <v>11</v>
      </c>
      <c r="F253" t="s">
        <v>645</v>
      </c>
      <c r="G253" t="s">
        <v>643</v>
      </c>
      <c r="H253" s="4">
        <v>46004</v>
      </c>
      <c r="I253" s="40">
        <v>0.50282407407407403</v>
      </c>
      <c r="J253" t="s">
        <v>626</v>
      </c>
      <c r="M253" t="s">
        <v>627</v>
      </c>
      <c r="N253" t="s">
        <v>628</v>
      </c>
    </row>
    <row r="254" spans="1:14" x14ac:dyDescent="0.25">
      <c r="A254" t="s">
        <v>930</v>
      </c>
      <c r="B254">
        <v>354476</v>
      </c>
      <c r="C254">
        <v>2690</v>
      </c>
      <c r="D254" t="s">
        <v>332</v>
      </c>
      <c r="E254" t="s">
        <v>11</v>
      </c>
      <c r="F254" t="s">
        <v>647</v>
      </c>
      <c r="G254" t="s">
        <v>643</v>
      </c>
      <c r="H254" s="4">
        <v>46004</v>
      </c>
      <c r="I254" s="40">
        <v>0.50282407407407403</v>
      </c>
      <c r="J254" t="s">
        <v>626</v>
      </c>
      <c r="M254" t="s">
        <v>627</v>
      </c>
      <c r="N254" t="s">
        <v>628</v>
      </c>
    </row>
    <row r="255" spans="1:14" x14ac:dyDescent="0.25">
      <c r="A255" t="s">
        <v>931</v>
      </c>
      <c r="B255">
        <v>354476</v>
      </c>
      <c r="C255">
        <v>2690</v>
      </c>
      <c r="D255" t="s">
        <v>332</v>
      </c>
      <c r="E255" t="s">
        <v>11</v>
      </c>
      <c r="F255" t="s">
        <v>624</v>
      </c>
      <c r="G255" t="s">
        <v>625</v>
      </c>
      <c r="H255" s="4">
        <v>46004</v>
      </c>
      <c r="I255" s="40">
        <v>0.50539351851851855</v>
      </c>
      <c r="J255" t="s">
        <v>626</v>
      </c>
      <c r="M255" t="s">
        <v>627</v>
      </c>
      <c r="N255" t="s">
        <v>628</v>
      </c>
    </row>
    <row r="256" spans="1:14" x14ac:dyDescent="0.25">
      <c r="A256" t="s">
        <v>932</v>
      </c>
      <c r="B256">
        <v>354476</v>
      </c>
      <c r="C256">
        <v>2690</v>
      </c>
      <c r="D256" t="s">
        <v>332</v>
      </c>
      <c r="E256" t="s">
        <v>11</v>
      </c>
      <c r="F256" t="s">
        <v>630</v>
      </c>
      <c r="G256" t="s">
        <v>643</v>
      </c>
      <c r="H256" s="4">
        <v>46004</v>
      </c>
      <c r="I256" s="40">
        <v>0.50539351851851855</v>
      </c>
      <c r="J256" t="s">
        <v>626</v>
      </c>
      <c r="M256" t="s">
        <v>627</v>
      </c>
      <c r="N256" t="s">
        <v>628</v>
      </c>
    </row>
    <row r="257" spans="1:14" x14ac:dyDescent="0.25">
      <c r="A257" t="s">
        <v>933</v>
      </c>
      <c r="B257">
        <v>354476</v>
      </c>
      <c r="C257">
        <v>2690</v>
      </c>
      <c r="D257" t="s">
        <v>332</v>
      </c>
      <c r="E257" t="s">
        <v>11</v>
      </c>
      <c r="F257" t="s">
        <v>632</v>
      </c>
      <c r="G257" t="s">
        <v>643</v>
      </c>
      <c r="H257" s="4">
        <v>46004</v>
      </c>
      <c r="I257" s="40">
        <v>0.50540509259259259</v>
      </c>
      <c r="J257" t="s">
        <v>626</v>
      </c>
      <c r="M257" t="s">
        <v>627</v>
      </c>
      <c r="N257" t="s">
        <v>628</v>
      </c>
    </row>
    <row r="258" spans="1:14" x14ac:dyDescent="0.25">
      <c r="A258" t="s">
        <v>934</v>
      </c>
      <c r="B258">
        <v>354476</v>
      </c>
      <c r="C258">
        <v>2690</v>
      </c>
      <c r="D258" t="s">
        <v>332</v>
      </c>
      <c r="E258" t="s">
        <v>11</v>
      </c>
      <c r="F258" t="s">
        <v>634</v>
      </c>
      <c r="G258" t="s">
        <v>643</v>
      </c>
      <c r="H258" s="4">
        <v>46004</v>
      </c>
      <c r="I258" s="40">
        <v>0.50541666666666663</v>
      </c>
      <c r="J258" t="s">
        <v>626</v>
      </c>
      <c r="M258" t="s">
        <v>627</v>
      </c>
      <c r="N258" t="s">
        <v>628</v>
      </c>
    </row>
    <row r="259" spans="1:14" x14ac:dyDescent="0.25">
      <c r="A259" t="s">
        <v>935</v>
      </c>
      <c r="B259">
        <v>354476</v>
      </c>
      <c r="C259">
        <v>2690</v>
      </c>
      <c r="D259" t="s">
        <v>332</v>
      </c>
      <c r="E259" t="s">
        <v>11</v>
      </c>
      <c r="F259" t="s">
        <v>636</v>
      </c>
      <c r="G259" t="s">
        <v>643</v>
      </c>
      <c r="H259" s="4">
        <v>46004</v>
      </c>
      <c r="I259" s="40">
        <v>0.50542824074074078</v>
      </c>
      <c r="J259" t="s">
        <v>626</v>
      </c>
      <c r="M259" t="s">
        <v>627</v>
      </c>
      <c r="N259" t="s">
        <v>628</v>
      </c>
    </row>
    <row r="260" spans="1:14" x14ac:dyDescent="0.25">
      <c r="A260" t="s">
        <v>936</v>
      </c>
      <c r="B260">
        <v>354476</v>
      </c>
      <c r="C260">
        <v>2690</v>
      </c>
      <c r="D260" t="s">
        <v>332</v>
      </c>
      <c r="E260" t="s">
        <v>11</v>
      </c>
      <c r="F260" t="s">
        <v>761</v>
      </c>
      <c r="G260" t="s">
        <v>643</v>
      </c>
      <c r="H260" s="4">
        <v>46004</v>
      </c>
      <c r="I260" s="40">
        <v>0.50542824074074078</v>
      </c>
      <c r="J260" t="s">
        <v>626</v>
      </c>
      <c r="M260" t="s">
        <v>627</v>
      </c>
      <c r="N260" t="s">
        <v>628</v>
      </c>
    </row>
    <row r="261" spans="1:14" x14ac:dyDescent="0.25">
      <c r="A261" t="s">
        <v>937</v>
      </c>
      <c r="B261">
        <v>354476</v>
      </c>
      <c r="C261">
        <v>2690</v>
      </c>
      <c r="D261" t="s">
        <v>332</v>
      </c>
      <c r="E261" t="s">
        <v>11</v>
      </c>
      <c r="F261" t="s">
        <v>642</v>
      </c>
      <c r="G261" t="s">
        <v>643</v>
      </c>
      <c r="H261" s="4">
        <v>46004</v>
      </c>
      <c r="I261" s="40">
        <v>0.50543981481481481</v>
      </c>
      <c r="J261" t="s">
        <v>626</v>
      </c>
      <c r="M261" t="s">
        <v>627</v>
      </c>
      <c r="N261" t="s">
        <v>628</v>
      </c>
    </row>
    <row r="262" spans="1:14" x14ac:dyDescent="0.25">
      <c r="A262" t="s">
        <v>938</v>
      </c>
      <c r="B262">
        <v>354476</v>
      </c>
      <c r="C262">
        <v>2690</v>
      </c>
      <c r="D262" t="s">
        <v>332</v>
      </c>
      <c r="E262" t="s">
        <v>11</v>
      </c>
      <c r="F262" t="s">
        <v>645</v>
      </c>
      <c r="G262" t="s">
        <v>643</v>
      </c>
      <c r="H262" s="4">
        <v>46004</v>
      </c>
      <c r="I262" s="40">
        <v>0.50545138888888885</v>
      </c>
      <c r="J262" t="s">
        <v>626</v>
      </c>
      <c r="M262" t="s">
        <v>627</v>
      </c>
      <c r="N262" t="s">
        <v>628</v>
      </c>
    </row>
    <row r="263" spans="1:14" x14ac:dyDescent="0.25">
      <c r="A263" t="s">
        <v>939</v>
      </c>
      <c r="B263">
        <v>354476</v>
      </c>
      <c r="C263">
        <v>2690</v>
      </c>
      <c r="D263" t="s">
        <v>332</v>
      </c>
      <c r="E263" t="s">
        <v>11</v>
      </c>
      <c r="F263" t="s">
        <v>647</v>
      </c>
      <c r="G263" t="s">
        <v>643</v>
      </c>
      <c r="H263" s="4">
        <v>46004</v>
      </c>
      <c r="I263" s="40">
        <v>0.505462962962963</v>
      </c>
      <c r="J263" t="s">
        <v>626</v>
      </c>
      <c r="M263" t="s">
        <v>627</v>
      </c>
      <c r="N263" t="s">
        <v>628</v>
      </c>
    </row>
    <row r="264" spans="1:14" x14ac:dyDescent="0.25">
      <c r="A264" t="s">
        <v>940</v>
      </c>
      <c r="B264">
        <v>354476</v>
      </c>
      <c r="C264">
        <v>2690</v>
      </c>
      <c r="D264" t="s">
        <v>332</v>
      </c>
      <c r="E264" t="s">
        <v>11</v>
      </c>
      <c r="F264" t="s">
        <v>624</v>
      </c>
      <c r="G264" t="s">
        <v>625</v>
      </c>
      <c r="H264" s="4">
        <v>46004</v>
      </c>
      <c r="I264" s="40">
        <v>0.5056018518518518</v>
      </c>
      <c r="J264" t="s">
        <v>626</v>
      </c>
      <c r="M264" t="s">
        <v>627</v>
      </c>
      <c r="N264" t="s">
        <v>628</v>
      </c>
    </row>
    <row r="265" spans="1:14" x14ac:dyDescent="0.25">
      <c r="A265" t="s">
        <v>941</v>
      </c>
      <c r="B265">
        <v>354476</v>
      </c>
      <c r="C265">
        <v>2690</v>
      </c>
      <c r="D265" t="s">
        <v>332</v>
      </c>
      <c r="E265" t="s">
        <v>11</v>
      </c>
      <c r="F265" t="s">
        <v>632</v>
      </c>
      <c r="G265" t="s">
        <v>643</v>
      </c>
      <c r="H265" s="4">
        <v>46004</v>
      </c>
      <c r="I265" s="40">
        <v>0.5056018518518518</v>
      </c>
      <c r="J265" t="s">
        <v>626</v>
      </c>
      <c r="M265" t="s">
        <v>627</v>
      </c>
      <c r="N265" t="s">
        <v>628</v>
      </c>
    </row>
    <row r="266" spans="1:14" x14ac:dyDescent="0.25">
      <c r="A266" t="s">
        <v>942</v>
      </c>
      <c r="B266">
        <v>354476</v>
      </c>
      <c r="C266">
        <v>2690</v>
      </c>
      <c r="D266" t="s">
        <v>332</v>
      </c>
      <c r="E266" t="s">
        <v>11</v>
      </c>
      <c r="F266" t="s">
        <v>634</v>
      </c>
      <c r="G266" t="s">
        <v>643</v>
      </c>
      <c r="H266" s="4">
        <v>46004</v>
      </c>
      <c r="I266" s="40">
        <v>0.50561342592592595</v>
      </c>
      <c r="J266" t="s">
        <v>626</v>
      </c>
      <c r="M266" t="s">
        <v>627</v>
      </c>
      <c r="N266" t="s">
        <v>628</v>
      </c>
    </row>
    <row r="267" spans="1:14" x14ac:dyDescent="0.25">
      <c r="A267" t="s">
        <v>943</v>
      </c>
      <c r="B267">
        <v>354476</v>
      </c>
      <c r="C267">
        <v>2690</v>
      </c>
      <c r="D267" t="s">
        <v>332</v>
      </c>
      <c r="E267" t="s">
        <v>11</v>
      </c>
      <c r="F267" t="s">
        <v>636</v>
      </c>
      <c r="G267" t="s">
        <v>643</v>
      </c>
      <c r="H267" s="4">
        <v>46004</v>
      </c>
      <c r="I267" s="40">
        <v>0.50562499999999999</v>
      </c>
      <c r="J267" t="s">
        <v>626</v>
      </c>
      <c r="M267" t="s">
        <v>627</v>
      </c>
      <c r="N267" t="s">
        <v>628</v>
      </c>
    </row>
    <row r="268" spans="1:14" x14ac:dyDescent="0.25">
      <c r="A268" t="s">
        <v>944</v>
      </c>
      <c r="B268">
        <v>354476</v>
      </c>
      <c r="C268">
        <v>2690</v>
      </c>
      <c r="D268" t="s">
        <v>332</v>
      </c>
      <c r="E268" t="s">
        <v>11</v>
      </c>
      <c r="F268" t="s">
        <v>761</v>
      </c>
      <c r="G268" t="s">
        <v>643</v>
      </c>
      <c r="H268" s="4">
        <v>46004</v>
      </c>
      <c r="I268" s="40">
        <v>0.50562499999999999</v>
      </c>
      <c r="J268" t="s">
        <v>626</v>
      </c>
      <c r="M268" t="s">
        <v>627</v>
      </c>
      <c r="N268" t="s">
        <v>628</v>
      </c>
    </row>
    <row r="269" spans="1:14" x14ac:dyDescent="0.25">
      <c r="A269" t="s">
        <v>945</v>
      </c>
      <c r="B269">
        <v>354476</v>
      </c>
      <c r="C269">
        <v>2690</v>
      </c>
      <c r="D269" t="s">
        <v>332</v>
      </c>
      <c r="E269" t="s">
        <v>11</v>
      </c>
      <c r="F269" t="s">
        <v>642</v>
      </c>
      <c r="G269" t="s">
        <v>643</v>
      </c>
      <c r="H269" s="4">
        <v>46004</v>
      </c>
      <c r="I269" s="40">
        <v>0.50563657407407403</v>
      </c>
      <c r="J269" t="s">
        <v>626</v>
      </c>
      <c r="M269" t="s">
        <v>627</v>
      </c>
      <c r="N269" t="s">
        <v>628</v>
      </c>
    </row>
    <row r="270" spans="1:14" x14ac:dyDescent="0.25">
      <c r="A270" t="s">
        <v>946</v>
      </c>
      <c r="B270">
        <v>354476</v>
      </c>
      <c r="C270">
        <v>2690</v>
      </c>
      <c r="D270" t="s">
        <v>332</v>
      </c>
      <c r="E270" t="s">
        <v>11</v>
      </c>
      <c r="F270" t="s">
        <v>645</v>
      </c>
      <c r="G270" t="s">
        <v>643</v>
      </c>
      <c r="H270" s="4">
        <v>46004</v>
      </c>
      <c r="I270" s="40">
        <v>0.50564814814814818</v>
      </c>
      <c r="J270" t="s">
        <v>626</v>
      </c>
      <c r="M270" t="s">
        <v>627</v>
      </c>
      <c r="N270" t="s">
        <v>628</v>
      </c>
    </row>
    <row r="271" spans="1:14" x14ac:dyDescent="0.25">
      <c r="A271" t="s">
        <v>947</v>
      </c>
      <c r="B271">
        <v>354476</v>
      </c>
      <c r="C271">
        <v>2690</v>
      </c>
      <c r="D271" t="s">
        <v>332</v>
      </c>
      <c r="E271" t="s">
        <v>11</v>
      </c>
      <c r="F271" t="s">
        <v>647</v>
      </c>
      <c r="G271" t="s">
        <v>643</v>
      </c>
      <c r="H271" s="4">
        <v>46004</v>
      </c>
      <c r="I271" s="40">
        <v>0.50565972222222222</v>
      </c>
      <c r="J271" t="s">
        <v>626</v>
      </c>
      <c r="M271" t="s">
        <v>627</v>
      </c>
      <c r="N271" t="s">
        <v>628</v>
      </c>
    </row>
    <row r="272" spans="1:14" x14ac:dyDescent="0.25">
      <c r="A272" t="s">
        <v>948</v>
      </c>
      <c r="B272">
        <v>354476</v>
      </c>
      <c r="C272">
        <v>2690</v>
      </c>
      <c r="D272" t="s">
        <v>332</v>
      </c>
      <c r="E272" t="s">
        <v>11</v>
      </c>
      <c r="F272" t="s">
        <v>624</v>
      </c>
      <c r="G272" t="s">
        <v>666</v>
      </c>
      <c r="H272" s="4">
        <v>46004</v>
      </c>
      <c r="I272" s="40">
        <v>0.50577546296296294</v>
      </c>
      <c r="J272" t="s">
        <v>626</v>
      </c>
      <c r="M272" t="s">
        <v>627</v>
      </c>
      <c r="N272" t="s">
        <v>628</v>
      </c>
    </row>
    <row r="273" spans="1:14" x14ac:dyDescent="0.25">
      <c r="A273" t="s">
        <v>949</v>
      </c>
      <c r="B273">
        <v>354476</v>
      </c>
      <c r="C273">
        <v>2690</v>
      </c>
      <c r="D273" t="s">
        <v>332</v>
      </c>
      <c r="E273" t="s">
        <v>11</v>
      </c>
      <c r="F273" t="s">
        <v>632</v>
      </c>
      <c r="G273" t="s">
        <v>643</v>
      </c>
      <c r="H273" s="4">
        <v>46004</v>
      </c>
      <c r="I273" s="40">
        <v>0.50578703703703709</v>
      </c>
      <c r="J273" t="s">
        <v>626</v>
      </c>
      <c r="M273" t="s">
        <v>627</v>
      </c>
      <c r="N273" t="s">
        <v>628</v>
      </c>
    </row>
    <row r="274" spans="1:14" x14ac:dyDescent="0.25">
      <c r="A274" t="s">
        <v>950</v>
      </c>
      <c r="B274">
        <v>354476</v>
      </c>
      <c r="C274">
        <v>2690</v>
      </c>
      <c r="D274" t="s">
        <v>332</v>
      </c>
      <c r="E274" t="s">
        <v>11</v>
      </c>
      <c r="F274" t="s">
        <v>634</v>
      </c>
      <c r="G274" t="s">
        <v>643</v>
      </c>
      <c r="H274" s="4">
        <v>46004</v>
      </c>
      <c r="I274" s="40">
        <v>0.50579861111111113</v>
      </c>
      <c r="J274" t="s">
        <v>626</v>
      </c>
      <c r="M274" t="s">
        <v>627</v>
      </c>
      <c r="N274" t="s">
        <v>628</v>
      </c>
    </row>
    <row r="275" spans="1:14" x14ac:dyDescent="0.25">
      <c r="A275" t="s">
        <v>951</v>
      </c>
      <c r="B275">
        <v>354476</v>
      </c>
      <c r="C275">
        <v>2690</v>
      </c>
      <c r="D275" t="s">
        <v>332</v>
      </c>
      <c r="E275" t="s">
        <v>11</v>
      </c>
      <c r="F275" t="s">
        <v>636</v>
      </c>
      <c r="G275" t="s">
        <v>643</v>
      </c>
      <c r="H275" s="4">
        <v>46004</v>
      </c>
      <c r="I275" s="40">
        <v>0.50581018518518517</v>
      </c>
      <c r="J275" t="s">
        <v>626</v>
      </c>
      <c r="M275" t="s">
        <v>627</v>
      </c>
      <c r="N275" t="s">
        <v>628</v>
      </c>
    </row>
    <row r="276" spans="1:14" x14ac:dyDescent="0.25">
      <c r="A276" t="s">
        <v>952</v>
      </c>
      <c r="B276">
        <v>354476</v>
      </c>
      <c r="C276">
        <v>2690</v>
      </c>
      <c r="D276" t="s">
        <v>332</v>
      </c>
      <c r="E276" t="s">
        <v>11</v>
      </c>
      <c r="F276" t="s">
        <v>761</v>
      </c>
      <c r="G276" t="s">
        <v>643</v>
      </c>
      <c r="H276" s="4">
        <v>46004</v>
      </c>
      <c r="I276" s="40">
        <v>0.50581018518518517</v>
      </c>
      <c r="J276" t="s">
        <v>626</v>
      </c>
      <c r="M276" t="s">
        <v>627</v>
      </c>
      <c r="N276" t="s">
        <v>628</v>
      </c>
    </row>
    <row r="277" spans="1:14" x14ac:dyDescent="0.25">
      <c r="A277" t="s">
        <v>953</v>
      </c>
      <c r="B277">
        <v>354476</v>
      </c>
      <c r="C277">
        <v>2690</v>
      </c>
      <c r="D277" t="s">
        <v>332</v>
      </c>
      <c r="E277" t="s">
        <v>11</v>
      </c>
      <c r="F277" t="s">
        <v>642</v>
      </c>
      <c r="G277" t="s">
        <v>643</v>
      </c>
      <c r="H277" s="4">
        <v>46004</v>
      </c>
      <c r="I277" s="40">
        <v>0.50582175925925921</v>
      </c>
      <c r="J277" t="s">
        <v>626</v>
      </c>
      <c r="M277" t="s">
        <v>627</v>
      </c>
      <c r="N277" t="s">
        <v>628</v>
      </c>
    </row>
    <row r="278" spans="1:14" x14ac:dyDescent="0.25">
      <c r="A278" t="s">
        <v>954</v>
      </c>
      <c r="B278">
        <v>354476</v>
      </c>
      <c r="C278">
        <v>2690</v>
      </c>
      <c r="D278" t="s">
        <v>332</v>
      </c>
      <c r="E278" t="s">
        <v>11</v>
      </c>
      <c r="F278" t="s">
        <v>645</v>
      </c>
      <c r="G278" t="s">
        <v>643</v>
      </c>
      <c r="H278" s="4">
        <v>46004</v>
      </c>
      <c r="I278" s="40">
        <v>0.50583333333333336</v>
      </c>
      <c r="J278" t="s">
        <v>626</v>
      </c>
      <c r="M278" t="s">
        <v>627</v>
      </c>
      <c r="N278" t="s">
        <v>628</v>
      </c>
    </row>
    <row r="279" spans="1:14" x14ac:dyDescent="0.25">
      <c r="A279" t="s">
        <v>955</v>
      </c>
      <c r="B279">
        <v>354476</v>
      </c>
      <c r="C279">
        <v>2690</v>
      </c>
      <c r="D279" t="s">
        <v>332</v>
      </c>
      <c r="E279" t="s">
        <v>11</v>
      </c>
      <c r="F279" t="s">
        <v>647</v>
      </c>
      <c r="G279" t="s">
        <v>643</v>
      </c>
      <c r="H279" s="4">
        <v>46004</v>
      </c>
      <c r="I279" s="40">
        <v>0.5058449074074074</v>
      </c>
      <c r="J279" t="s">
        <v>626</v>
      </c>
      <c r="M279" t="s">
        <v>627</v>
      </c>
      <c r="N279" t="s">
        <v>628</v>
      </c>
    </row>
    <row r="280" spans="1:14" x14ac:dyDescent="0.25">
      <c r="A280" t="s">
        <v>956</v>
      </c>
      <c r="B280">
        <v>354476</v>
      </c>
      <c r="C280">
        <v>2690</v>
      </c>
      <c r="D280" t="s">
        <v>332</v>
      </c>
      <c r="E280" t="s">
        <v>11</v>
      </c>
      <c r="F280" t="s">
        <v>624</v>
      </c>
      <c r="G280" t="s">
        <v>625</v>
      </c>
      <c r="H280" s="4">
        <v>46004</v>
      </c>
      <c r="I280" s="40">
        <v>0.50599537037037035</v>
      </c>
      <c r="J280" t="s">
        <v>626</v>
      </c>
      <c r="M280" t="s">
        <v>627</v>
      </c>
      <c r="N280" t="s">
        <v>628</v>
      </c>
    </row>
    <row r="281" spans="1:14" x14ac:dyDescent="0.25">
      <c r="A281" t="s">
        <v>957</v>
      </c>
      <c r="B281">
        <v>354476</v>
      </c>
      <c r="C281">
        <v>2690</v>
      </c>
      <c r="D281" t="s">
        <v>332</v>
      </c>
      <c r="E281" t="s">
        <v>11</v>
      </c>
      <c r="F281" t="s">
        <v>630</v>
      </c>
      <c r="G281" t="s">
        <v>666</v>
      </c>
      <c r="H281" s="4">
        <v>46004</v>
      </c>
      <c r="I281" s="40">
        <v>0.5060069444444445</v>
      </c>
      <c r="J281" t="s">
        <v>626</v>
      </c>
      <c r="M281" t="s">
        <v>627</v>
      </c>
      <c r="N281" t="s">
        <v>628</v>
      </c>
    </row>
    <row r="282" spans="1:14" x14ac:dyDescent="0.25">
      <c r="A282" t="s">
        <v>958</v>
      </c>
      <c r="B282">
        <v>354476</v>
      </c>
      <c r="C282">
        <v>2690</v>
      </c>
      <c r="D282" t="s">
        <v>332</v>
      </c>
      <c r="E282" t="s">
        <v>11</v>
      </c>
      <c r="F282" t="s">
        <v>632</v>
      </c>
      <c r="G282" t="s">
        <v>643</v>
      </c>
      <c r="H282" s="4">
        <v>46004</v>
      </c>
      <c r="I282" s="40">
        <v>0.5060069444444445</v>
      </c>
      <c r="J282" t="s">
        <v>626</v>
      </c>
      <c r="M282" t="s">
        <v>627</v>
      </c>
      <c r="N282" t="s">
        <v>628</v>
      </c>
    </row>
    <row r="283" spans="1:14" x14ac:dyDescent="0.25">
      <c r="A283" t="s">
        <v>959</v>
      </c>
      <c r="B283">
        <v>354476</v>
      </c>
      <c r="C283">
        <v>2690</v>
      </c>
      <c r="D283" t="s">
        <v>332</v>
      </c>
      <c r="E283" t="s">
        <v>11</v>
      </c>
      <c r="F283" t="s">
        <v>634</v>
      </c>
      <c r="G283" t="s">
        <v>643</v>
      </c>
      <c r="H283" s="4">
        <v>46004</v>
      </c>
      <c r="I283" s="40">
        <v>0.50601851851851853</v>
      </c>
      <c r="J283" t="s">
        <v>626</v>
      </c>
      <c r="M283" t="s">
        <v>627</v>
      </c>
      <c r="N283" t="s">
        <v>628</v>
      </c>
    </row>
    <row r="284" spans="1:14" x14ac:dyDescent="0.25">
      <c r="A284" t="s">
        <v>960</v>
      </c>
      <c r="B284">
        <v>354476</v>
      </c>
      <c r="C284">
        <v>2690</v>
      </c>
      <c r="D284" t="s">
        <v>332</v>
      </c>
      <c r="E284" t="s">
        <v>11</v>
      </c>
      <c r="F284" t="s">
        <v>636</v>
      </c>
      <c r="G284" t="s">
        <v>643</v>
      </c>
      <c r="H284" s="4">
        <v>46004</v>
      </c>
      <c r="I284" s="40">
        <v>0.50603009259259257</v>
      </c>
      <c r="J284" t="s">
        <v>626</v>
      </c>
      <c r="M284" t="s">
        <v>627</v>
      </c>
      <c r="N284" t="s">
        <v>628</v>
      </c>
    </row>
    <row r="285" spans="1:14" x14ac:dyDescent="0.25">
      <c r="A285" t="s">
        <v>961</v>
      </c>
      <c r="B285">
        <v>354476</v>
      </c>
      <c r="C285">
        <v>2690</v>
      </c>
      <c r="D285" t="s">
        <v>332</v>
      </c>
      <c r="E285" t="s">
        <v>11</v>
      </c>
      <c r="F285" t="s">
        <v>761</v>
      </c>
      <c r="G285" t="s">
        <v>643</v>
      </c>
      <c r="H285" s="4">
        <v>46004</v>
      </c>
      <c r="I285" s="40">
        <v>0.50604166666666661</v>
      </c>
      <c r="J285" t="s">
        <v>626</v>
      </c>
      <c r="M285" t="s">
        <v>627</v>
      </c>
      <c r="N285" t="s">
        <v>628</v>
      </c>
    </row>
    <row r="286" spans="1:14" x14ac:dyDescent="0.25">
      <c r="A286" t="s">
        <v>962</v>
      </c>
      <c r="B286">
        <v>354476</v>
      </c>
      <c r="C286">
        <v>2690</v>
      </c>
      <c r="D286" t="s">
        <v>332</v>
      </c>
      <c r="E286" t="s">
        <v>11</v>
      </c>
      <c r="F286" t="s">
        <v>642</v>
      </c>
      <c r="G286" t="s">
        <v>643</v>
      </c>
      <c r="H286" s="4">
        <v>46004</v>
      </c>
      <c r="I286" s="40">
        <v>0.50604166666666661</v>
      </c>
      <c r="J286" t="s">
        <v>626</v>
      </c>
      <c r="M286" t="s">
        <v>627</v>
      </c>
      <c r="N286" t="s">
        <v>628</v>
      </c>
    </row>
    <row r="287" spans="1:14" x14ac:dyDescent="0.25">
      <c r="A287" t="s">
        <v>963</v>
      </c>
      <c r="B287">
        <v>354476</v>
      </c>
      <c r="C287">
        <v>2690</v>
      </c>
      <c r="D287" t="s">
        <v>332</v>
      </c>
      <c r="E287" t="s">
        <v>11</v>
      </c>
      <c r="F287" t="s">
        <v>645</v>
      </c>
      <c r="G287" t="s">
        <v>643</v>
      </c>
      <c r="H287" s="4">
        <v>46004</v>
      </c>
      <c r="I287" s="40">
        <v>0.50605324074074076</v>
      </c>
      <c r="J287" t="s">
        <v>626</v>
      </c>
      <c r="M287" t="s">
        <v>627</v>
      </c>
      <c r="N287" t="s">
        <v>628</v>
      </c>
    </row>
    <row r="288" spans="1:14" x14ac:dyDescent="0.25">
      <c r="A288" t="s">
        <v>964</v>
      </c>
      <c r="B288">
        <v>354476</v>
      </c>
      <c r="C288">
        <v>2690</v>
      </c>
      <c r="D288" t="s">
        <v>332</v>
      </c>
      <c r="E288" t="s">
        <v>11</v>
      </c>
      <c r="F288" t="s">
        <v>647</v>
      </c>
      <c r="G288" t="s">
        <v>643</v>
      </c>
      <c r="H288" s="4">
        <v>46004</v>
      </c>
      <c r="I288" s="40">
        <v>0.5060648148148148</v>
      </c>
      <c r="J288" t="s">
        <v>626</v>
      </c>
      <c r="M288" t="s">
        <v>627</v>
      </c>
      <c r="N288" t="s">
        <v>628</v>
      </c>
    </row>
    <row r="289" spans="1:14" x14ac:dyDescent="0.25">
      <c r="A289" t="s">
        <v>965</v>
      </c>
      <c r="B289">
        <v>354476</v>
      </c>
      <c r="C289">
        <v>2690</v>
      </c>
      <c r="D289" t="s">
        <v>332</v>
      </c>
      <c r="E289" t="s">
        <v>11</v>
      </c>
      <c r="F289" t="s">
        <v>624</v>
      </c>
      <c r="G289" t="s">
        <v>625</v>
      </c>
      <c r="H289" s="4">
        <v>46006</v>
      </c>
      <c r="I289" s="40">
        <v>0.40106481481481482</v>
      </c>
      <c r="J289" t="s">
        <v>626</v>
      </c>
      <c r="M289" t="s">
        <v>627</v>
      </c>
      <c r="N289" t="s">
        <v>628</v>
      </c>
    </row>
    <row r="290" spans="1:14" x14ac:dyDescent="0.25">
      <c r="A290" t="s">
        <v>966</v>
      </c>
      <c r="B290">
        <v>354476</v>
      </c>
      <c r="C290">
        <v>2690</v>
      </c>
      <c r="D290" t="s">
        <v>332</v>
      </c>
      <c r="E290" t="s">
        <v>11</v>
      </c>
      <c r="F290" t="s">
        <v>630</v>
      </c>
      <c r="G290" t="s">
        <v>625</v>
      </c>
      <c r="H290" s="4">
        <v>46006</v>
      </c>
      <c r="I290" s="40">
        <v>0.40107638888888891</v>
      </c>
      <c r="J290" t="s">
        <v>626</v>
      </c>
      <c r="M290" t="s">
        <v>627</v>
      </c>
      <c r="N290" t="s">
        <v>628</v>
      </c>
    </row>
    <row r="291" spans="1:14" x14ac:dyDescent="0.25">
      <c r="A291" t="s">
        <v>967</v>
      </c>
      <c r="B291">
        <v>354476</v>
      </c>
      <c r="C291">
        <v>2690</v>
      </c>
      <c r="D291" t="s">
        <v>332</v>
      </c>
      <c r="E291" t="s">
        <v>11</v>
      </c>
      <c r="F291" t="s">
        <v>632</v>
      </c>
      <c r="G291" t="s">
        <v>643</v>
      </c>
      <c r="H291" s="4">
        <v>46006</v>
      </c>
      <c r="I291" s="40">
        <v>0.40108796296296295</v>
      </c>
      <c r="J291" t="s">
        <v>626</v>
      </c>
      <c r="L291" t="s">
        <v>968</v>
      </c>
      <c r="M291" t="s">
        <v>627</v>
      </c>
      <c r="N291" t="s">
        <v>628</v>
      </c>
    </row>
    <row r="292" spans="1:14" x14ac:dyDescent="0.25">
      <c r="A292" t="s">
        <v>969</v>
      </c>
      <c r="B292">
        <v>354476</v>
      </c>
      <c r="C292">
        <v>2690</v>
      </c>
      <c r="D292" t="s">
        <v>332</v>
      </c>
      <c r="E292" t="s">
        <v>11</v>
      </c>
      <c r="F292" t="s">
        <v>634</v>
      </c>
      <c r="G292" t="s">
        <v>643</v>
      </c>
      <c r="H292" s="4">
        <v>46006</v>
      </c>
      <c r="I292" s="40">
        <v>0.40109953703703705</v>
      </c>
      <c r="J292" t="s">
        <v>626</v>
      </c>
      <c r="M292" t="s">
        <v>627</v>
      </c>
      <c r="N292" t="s">
        <v>628</v>
      </c>
    </row>
    <row r="293" spans="1:14" x14ac:dyDescent="0.25">
      <c r="A293" t="s">
        <v>970</v>
      </c>
      <c r="B293">
        <v>354476</v>
      </c>
      <c r="C293">
        <v>2690</v>
      </c>
      <c r="D293" t="s">
        <v>332</v>
      </c>
      <c r="E293" t="s">
        <v>11</v>
      </c>
      <c r="F293" t="s">
        <v>636</v>
      </c>
      <c r="G293" t="s">
        <v>643</v>
      </c>
      <c r="H293" s="4">
        <v>46006</v>
      </c>
      <c r="I293" s="40">
        <v>0.40109953703703705</v>
      </c>
      <c r="J293" t="s">
        <v>626</v>
      </c>
      <c r="M293" t="s">
        <v>627</v>
      </c>
      <c r="N293" t="s">
        <v>628</v>
      </c>
    </row>
    <row r="294" spans="1:14" x14ac:dyDescent="0.25">
      <c r="A294" t="s">
        <v>971</v>
      </c>
      <c r="B294">
        <v>354476</v>
      </c>
      <c r="C294">
        <v>2690</v>
      </c>
      <c r="D294" t="s">
        <v>332</v>
      </c>
      <c r="E294" t="s">
        <v>11</v>
      </c>
      <c r="F294" t="s">
        <v>761</v>
      </c>
      <c r="G294" t="s">
        <v>643</v>
      </c>
      <c r="H294" s="4">
        <v>46006</v>
      </c>
      <c r="I294" s="40">
        <v>0.40111111111111108</v>
      </c>
      <c r="J294" t="s">
        <v>626</v>
      </c>
      <c r="M294" t="s">
        <v>627</v>
      </c>
      <c r="N294" t="s">
        <v>628</v>
      </c>
    </row>
    <row r="295" spans="1:14" x14ac:dyDescent="0.25">
      <c r="A295" t="s">
        <v>972</v>
      </c>
      <c r="B295">
        <v>354476</v>
      </c>
      <c r="C295">
        <v>2690</v>
      </c>
      <c r="D295" t="s">
        <v>332</v>
      </c>
      <c r="E295" t="s">
        <v>11</v>
      </c>
      <c r="F295" t="s">
        <v>642</v>
      </c>
      <c r="G295" t="s">
        <v>643</v>
      </c>
      <c r="H295" s="4">
        <v>46006</v>
      </c>
      <c r="I295" s="40">
        <v>0.40112268518518518</v>
      </c>
      <c r="J295" t="s">
        <v>626</v>
      </c>
      <c r="M295" t="s">
        <v>627</v>
      </c>
      <c r="N295" t="s">
        <v>628</v>
      </c>
    </row>
    <row r="296" spans="1:14" x14ac:dyDescent="0.25">
      <c r="A296" t="s">
        <v>973</v>
      </c>
      <c r="B296">
        <v>354476</v>
      </c>
      <c r="C296">
        <v>2690</v>
      </c>
      <c r="D296" t="s">
        <v>332</v>
      </c>
      <c r="E296" t="s">
        <v>11</v>
      </c>
      <c r="F296" t="s">
        <v>645</v>
      </c>
      <c r="G296" t="s">
        <v>643</v>
      </c>
      <c r="H296" s="4">
        <v>46006</v>
      </c>
      <c r="I296" s="40">
        <v>0.40113425925925927</v>
      </c>
      <c r="J296" t="s">
        <v>626</v>
      </c>
      <c r="M296" t="s">
        <v>627</v>
      </c>
      <c r="N296" t="s">
        <v>628</v>
      </c>
    </row>
    <row r="297" spans="1:14" x14ac:dyDescent="0.25">
      <c r="A297" t="s">
        <v>974</v>
      </c>
      <c r="B297">
        <v>354476</v>
      </c>
      <c r="C297">
        <v>2690</v>
      </c>
      <c r="D297" t="s">
        <v>332</v>
      </c>
      <c r="E297" t="s">
        <v>11</v>
      </c>
      <c r="F297" t="s">
        <v>647</v>
      </c>
      <c r="G297" t="s">
        <v>643</v>
      </c>
      <c r="H297" s="4">
        <v>46006</v>
      </c>
      <c r="I297" s="40">
        <v>0.40113425925925927</v>
      </c>
      <c r="J297" t="s">
        <v>626</v>
      </c>
      <c r="M297" t="s">
        <v>627</v>
      </c>
      <c r="N297" t="s">
        <v>628</v>
      </c>
    </row>
    <row r="298" spans="1:14" x14ac:dyDescent="0.25">
      <c r="A298" t="s">
        <v>975</v>
      </c>
      <c r="B298">
        <v>354476</v>
      </c>
      <c r="C298">
        <v>2690</v>
      </c>
      <c r="D298" t="s">
        <v>332</v>
      </c>
      <c r="E298" t="s">
        <v>11</v>
      </c>
      <c r="F298" t="s">
        <v>624</v>
      </c>
      <c r="G298" t="s">
        <v>625</v>
      </c>
      <c r="H298" s="4">
        <v>46006</v>
      </c>
      <c r="I298" s="40">
        <v>0.40159722222222222</v>
      </c>
      <c r="J298" t="s">
        <v>626</v>
      </c>
      <c r="M298" t="s">
        <v>627</v>
      </c>
      <c r="N298" t="s">
        <v>628</v>
      </c>
    </row>
    <row r="299" spans="1:14" x14ac:dyDescent="0.25">
      <c r="A299" t="s">
        <v>976</v>
      </c>
      <c r="B299">
        <v>354476</v>
      </c>
      <c r="C299">
        <v>2690</v>
      </c>
      <c r="D299" t="s">
        <v>332</v>
      </c>
      <c r="E299" t="s">
        <v>11</v>
      </c>
      <c r="F299" t="s">
        <v>630</v>
      </c>
      <c r="G299" t="s">
        <v>625</v>
      </c>
      <c r="H299" s="4">
        <v>46006</v>
      </c>
      <c r="I299" s="40">
        <v>0.40160879629629631</v>
      </c>
      <c r="J299" t="s">
        <v>626</v>
      </c>
      <c r="M299" t="s">
        <v>627</v>
      </c>
      <c r="N299" t="s">
        <v>628</v>
      </c>
    </row>
    <row r="300" spans="1:14" x14ac:dyDescent="0.25">
      <c r="A300" t="s">
        <v>977</v>
      </c>
      <c r="B300">
        <v>354476</v>
      </c>
      <c r="C300">
        <v>2690</v>
      </c>
      <c r="D300" t="s">
        <v>332</v>
      </c>
      <c r="E300" t="s">
        <v>11</v>
      </c>
      <c r="F300" t="s">
        <v>632</v>
      </c>
      <c r="G300" t="s">
        <v>643</v>
      </c>
      <c r="H300" s="4">
        <v>46006</v>
      </c>
      <c r="I300" s="40">
        <v>0.40160879629629631</v>
      </c>
      <c r="J300" t="s">
        <v>626</v>
      </c>
      <c r="L300" t="s">
        <v>968</v>
      </c>
      <c r="M300" t="s">
        <v>627</v>
      </c>
      <c r="N300" t="s">
        <v>628</v>
      </c>
    </row>
    <row r="301" spans="1:14" x14ac:dyDescent="0.25">
      <c r="A301" t="s">
        <v>978</v>
      </c>
      <c r="B301">
        <v>354476</v>
      </c>
      <c r="C301">
        <v>2690</v>
      </c>
      <c r="D301" t="s">
        <v>332</v>
      </c>
      <c r="E301" t="s">
        <v>11</v>
      </c>
      <c r="F301" t="s">
        <v>634</v>
      </c>
      <c r="G301" t="s">
        <v>643</v>
      </c>
      <c r="H301" s="4">
        <v>46006</v>
      </c>
      <c r="I301" s="40">
        <v>0.40162037037037035</v>
      </c>
      <c r="J301" t="s">
        <v>626</v>
      </c>
      <c r="M301" t="s">
        <v>627</v>
      </c>
      <c r="N301" t="s">
        <v>628</v>
      </c>
    </row>
    <row r="302" spans="1:14" x14ac:dyDescent="0.25">
      <c r="A302" t="s">
        <v>979</v>
      </c>
      <c r="B302">
        <v>354476</v>
      </c>
      <c r="C302">
        <v>2690</v>
      </c>
      <c r="D302" t="s">
        <v>332</v>
      </c>
      <c r="E302" t="s">
        <v>11</v>
      </c>
      <c r="F302" t="s">
        <v>636</v>
      </c>
      <c r="G302" t="s">
        <v>643</v>
      </c>
      <c r="H302" s="4">
        <v>46006</v>
      </c>
      <c r="I302" s="40">
        <v>0.40163194444444444</v>
      </c>
      <c r="J302" t="s">
        <v>626</v>
      </c>
      <c r="M302" t="s">
        <v>627</v>
      </c>
      <c r="N302" t="s">
        <v>628</v>
      </c>
    </row>
    <row r="303" spans="1:14" x14ac:dyDescent="0.25">
      <c r="A303" t="s">
        <v>980</v>
      </c>
      <c r="B303">
        <v>354476</v>
      </c>
      <c r="C303">
        <v>2690</v>
      </c>
      <c r="D303" t="s">
        <v>332</v>
      </c>
      <c r="E303" t="s">
        <v>11</v>
      </c>
      <c r="F303" t="s">
        <v>761</v>
      </c>
      <c r="G303" t="s">
        <v>643</v>
      </c>
      <c r="H303" s="4">
        <v>46006</v>
      </c>
      <c r="I303" s="40">
        <v>0.40164351851851854</v>
      </c>
      <c r="J303" t="s">
        <v>626</v>
      </c>
      <c r="M303" t="s">
        <v>627</v>
      </c>
      <c r="N303" t="s">
        <v>628</v>
      </c>
    </row>
    <row r="304" spans="1:14" x14ac:dyDescent="0.25">
      <c r="A304" t="s">
        <v>981</v>
      </c>
      <c r="B304">
        <v>354476</v>
      </c>
      <c r="C304">
        <v>2690</v>
      </c>
      <c r="D304" t="s">
        <v>332</v>
      </c>
      <c r="E304" t="s">
        <v>11</v>
      </c>
      <c r="F304" t="s">
        <v>642</v>
      </c>
      <c r="G304" t="s">
        <v>643</v>
      </c>
      <c r="H304" s="4">
        <v>46006</v>
      </c>
      <c r="I304" s="40">
        <v>0.40165509259259258</v>
      </c>
      <c r="J304" t="s">
        <v>626</v>
      </c>
      <c r="M304" t="s">
        <v>627</v>
      </c>
      <c r="N304" t="s">
        <v>628</v>
      </c>
    </row>
    <row r="305" spans="1:14" x14ac:dyDescent="0.25">
      <c r="A305" t="s">
        <v>982</v>
      </c>
      <c r="B305">
        <v>354476</v>
      </c>
      <c r="C305">
        <v>2690</v>
      </c>
      <c r="D305" t="s">
        <v>332</v>
      </c>
      <c r="E305" t="s">
        <v>11</v>
      </c>
      <c r="F305" t="s">
        <v>645</v>
      </c>
      <c r="G305" t="s">
        <v>643</v>
      </c>
      <c r="H305" s="4">
        <v>46006</v>
      </c>
      <c r="I305" s="40">
        <v>0.40166666666666667</v>
      </c>
      <c r="J305" t="s">
        <v>626</v>
      </c>
      <c r="M305" t="s">
        <v>627</v>
      </c>
      <c r="N305" t="s">
        <v>628</v>
      </c>
    </row>
    <row r="306" spans="1:14" x14ac:dyDescent="0.25">
      <c r="A306" t="s">
        <v>983</v>
      </c>
      <c r="B306">
        <v>354476</v>
      </c>
      <c r="C306">
        <v>2690</v>
      </c>
      <c r="D306" t="s">
        <v>332</v>
      </c>
      <c r="E306" t="s">
        <v>11</v>
      </c>
      <c r="F306" t="s">
        <v>647</v>
      </c>
      <c r="G306" t="s">
        <v>643</v>
      </c>
      <c r="H306" s="4">
        <v>46006</v>
      </c>
      <c r="I306" s="40">
        <v>0.40166666666666667</v>
      </c>
      <c r="J306" t="s">
        <v>626</v>
      </c>
      <c r="M306" t="s">
        <v>627</v>
      </c>
      <c r="N306" t="s">
        <v>628</v>
      </c>
    </row>
    <row r="307" spans="1:14" x14ac:dyDescent="0.25">
      <c r="A307" t="s">
        <v>984</v>
      </c>
      <c r="B307">
        <v>354476</v>
      </c>
      <c r="C307">
        <v>2690</v>
      </c>
      <c r="D307" t="s">
        <v>332</v>
      </c>
      <c r="E307" t="s">
        <v>11</v>
      </c>
      <c r="F307" t="s">
        <v>624</v>
      </c>
      <c r="G307" t="s">
        <v>625</v>
      </c>
      <c r="H307" s="4">
        <v>46006</v>
      </c>
      <c r="I307" s="40">
        <v>0.4022337962962963</v>
      </c>
      <c r="J307" t="s">
        <v>626</v>
      </c>
      <c r="M307" t="s">
        <v>627</v>
      </c>
      <c r="N307" t="s">
        <v>628</v>
      </c>
    </row>
    <row r="308" spans="1:14" x14ac:dyDescent="0.25">
      <c r="A308" t="s">
        <v>985</v>
      </c>
      <c r="B308">
        <v>354476</v>
      </c>
      <c r="C308">
        <v>2690</v>
      </c>
      <c r="D308" t="s">
        <v>332</v>
      </c>
      <c r="E308" t="s">
        <v>11</v>
      </c>
      <c r="F308" t="s">
        <v>630</v>
      </c>
      <c r="G308" t="s">
        <v>625</v>
      </c>
      <c r="H308" s="4">
        <v>46006</v>
      </c>
      <c r="I308" s="40">
        <v>0.40224537037037039</v>
      </c>
      <c r="J308" t="s">
        <v>626</v>
      </c>
      <c r="M308" t="s">
        <v>627</v>
      </c>
      <c r="N308" t="s">
        <v>628</v>
      </c>
    </row>
    <row r="309" spans="1:14" x14ac:dyDescent="0.25">
      <c r="A309" t="s">
        <v>986</v>
      </c>
      <c r="B309">
        <v>354476</v>
      </c>
      <c r="C309">
        <v>2690</v>
      </c>
      <c r="D309" t="s">
        <v>332</v>
      </c>
      <c r="E309" t="s">
        <v>11</v>
      </c>
      <c r="F309" t="s">
        <v>634</v>
      </c>
      <c r="G309" t="s">
        <v>643</v>
      </c>
      <c r="H309" s="4">
        <v>46006</v>
      </c>
      <c r="I309" s="40">
        <v>0.40225694444444443</v>
      </c>
      <c r="J309" t="s">
        <v>626</v>
      </c>
      <c r="M309" t="s">
        <v>627</v>
      </c>
      <c r="N309" t="s">
        <v>628</v>
      </c>
    </row>
    <row r="310" spans="1:14" x14ac:dyDescent="0.25">
      <c r="A310" t="s">
        <v>987</v>
      </c>
      <c r="B310">
        <v>354476</v>
      </c>
      <c r="C310">
        <v>2690</v>
      </c>
      <c r="D310" t="s">
        <v>332</v>
      </c>
      <c r="E310" t="s">
        <v>11</v>
      </c>
      <c r="F310" t="s">
        <v>636</v>
      </c>
      <c r="G310" t="s">
        <v>643</v>
      </c>
      <c r="H310" s="4">
        <v>46006</v>
      </c>
      <c r="I310" s="40">
        <v>0.40226851851851853</v>
      </c>
      <c r="J310" t="s">
        <v>626</v>
      </c>
      <c r="M310" t="s">
        <v>627</v>
      </c>
      <c r="N310" t="s">
        <v>628</v>
      </c>
    </row>
    <row r="311" spans="1:14" x14ac:dyDescent="0.25">
      <c r="A311" t="s">
        <v>988</v>
      </c>
      <c r="B311">
        <v>354476</v>
      </c>
      <c r="C311">
        <v>2690</v>
      </c>
      <c r="D311" t="s">
        <v>332</v>
      </c>
      <c r="E311" t="s">
        <v>11</v>
      </c>
      <c r="F311" t="s">
        <v>761</v>
      </c>
      <c r="G311" t="s">
        <v>643</v>
      </c>
      <c r="H311" s="4">
        <v>46006</v>
      </c>
      <c r="I311" s="40">
        <v>0.40226851851851853</v>
      </c>
      <c r="J311" t="s">
        <v>626</v>
      </c>
      <c r="M311" t="s">
        <v>627</v>
      </c>
      <c r="N311" t="s">
        <v>628</v>
      </c>
    </row>
    <row r="312" spans="1:14" x14ac:dyDescent="0.25">
      <c r="A312" t="s">
        <v>989</v>
      </c>
      <c r="B312">
        <v>354476</v>
      </c>
      <c r="C312">
        <v>2690</v>
      </c>
      <c r="D312" t="s">
        <v>332</v>
      </c>
      <c r="E312" t="s">
        <v>11</v>
      </c>
      <c r="F312" t="s">
        <v>642</v>
      </c>
      <c r="G312" t="s">
        <v>643</v>
      </c>
      <c r="H312" s="4">
        <v>46006</v>
      </c>
      <c r="I312" s="40">
        <v>0.40228009259259262</v>
      </c>
      <c r="J312" t="s">
        <v>626</v>
      </c>
      <c r="M312" t="s">
        <v>627</v>
      </c>
      <c r="N312" t="s">
        <v>628</v>
      </c>
    </row>
    <row r="313" spans="1:14" x14ac:dyDescent="0.25">
      <c r="A313" t="s">
        <v>990</v>
      </c>
      <c r="B313">
        <v>354476</v>
      </c>
      <c r="C313">
        <v>2690</v>
      </c>
      <c r="D313" t="s">
        <v>332</v>
      </c>
      <c r="E313" t="s">
        <v>11</v>
      </c>
      <c r="F313" t="s">
        <v>645</v>
      </c>
      <c r="G313" t="s">
        <v>643</v>
      </c>
      <c r="H313" s="4">
        <v>46006</v>
      </c>
      <c r="I313" s="40">
        <v>0.40229166666666666</v>
      </c>
      <c r="J313" t="s">
        <v>626</v>
      </c>
      <c r="M313" t="s">
        <v>627</v>
      </c>
      <c r="N313" t="s">
        <v>628</v>
      </c>
    </row>
    <row r="314" spans="1:14" x14ac:dyDescent="0.25">
      <c r="A314" t="s">
        <v>991</v>
      </c>
      <c r="B314">
        <v>354476</v>
      </c>
      <c r="C314">
        <v>2690</v>
      </c>
      <c r="D314" t="s">
        <v>332</v>
      </c>
      <c r="E314" t="s">
        <v>11</v>
      </c>
      <c r="F314" t="s">
        <v>647</v>
      </c>
      <c r="G314" t="s">
        <v>643</v>
      </c>
      <c r="H314" s="4">
        <v>46006</v>
      </c>
      <c r="I314" s="40">
        <v>0.40230324074074075</v>
      </c>
      <c r="J314" t="s">
        <v>626</v>
      </c>
      <c r="M314" t="s">
        <v>627</v>
      </c>
      <c r="N314" t="s">
        <v>628</v>
      </c>
    </row>
    <row r="315" spans="1:14" x14ac:dyDescent="0.25">
      <c r="A315" t="s">
        <v>992</v>
      </c>
      <c r="B315">
        <v>354476</v>
      </c>
      <c r="C315">
        <v>2690</v>
      </c>
      <c r="D315" t="s">
        <v>332</v>
      </c>
      <c r="E315" t="s">
        <v>11</v>
      </c>
      <c r="F315" t="s">
        <v>624</v>
      </c>
      <c r="G315" t="s">
        <v>625</v>
      </c>
      <c r="H315" s="4">
        <v>46006</v>
      </c>
      <c r="I315" s="40">
        <v>0.40510416666666665</v>
      </c>
      <c r="J315" t="s">
        <v>626</v>
      </c>
      <c r="M315" t="s">
        <v>627</v>
      </c>
      <c r="N315" t="s">
        <v>628</v>
      </c>
    </row>
    <row r="316" spans="1:14" x14ac:dyDescent="0.25">
      <c r="A316" t="s">
        <v>993</v>
      </c>
      <c r="B316">
        <v>354476</v>
      </c>
      <c r="C316">
        <v>2690</v>
      </c>
      <c r="D316" t="s">
        <v>332</v>
      </c>
      <c r="E316" t="s">
        <v>11</v>
      </c>
      <c r="F316" t="s">
        <v>630</v>
      </c>
      <c r="G316" t="s">
        <v>625</v>
      </c>
      <c r="H316" s="4">
        <v>46006</v>
      </c>
      <c r="I316" s="40">
        <v>0.40511574074074075</v>
      </c>
      <c r="J316" t="s">
        <v>626</v>
      </c>
      <c r="M316" t="s">
        <v>627</v>
      </c>
      <c r="N316" t="s">
        <v>628</v>
      </c>
    </row>
    <row r="317" spans="1:14" x14ac:dyDescent="0.25">
      <c r="A317" t="s">
        <v>994</v>
      </c>
      <c r="B317">
        <v>354476</v>
      </c>
      <c r="C317">
        <v>2690</v>
      </c>
      <c r="D317" t="s">
        <v>332</v>
      </c>
      <c r="E317" t="s">
        <v>11</v>
      </c>
      <c r="F317" t="s">
        <v>632</v>
      </c>
      <c r="G317" t="s">
        <v>643</v>
      </c>
      <c r="H317" s="4">
        <v>46006</v>
      </c>
      <c r="I317" s="40">
        <v>0.40512731481481479</v>
      </c>
      <c r="J317" t="s">
        <v>626</v>
      </c>
      <c r="L317" t="s">
        <v>968</v>
      </c>
      <c r="M317" t="s">
        <v>627</v>
      </c>
      <c r="N317" t="s">
        <v>628</v>
      </c>
    </row>
    <row r="318" spans="1:14" x14ac:dyDescent="0.25">
      <c r="A318" t="s">
        <v>995</v>
      </c>
      <c r="B318">
        <v>354476</v>
      </c>
      <c r="C318">
        <v>2690</v>
      </c>
      <c r="D318" t="s">
        <v>332</v>
      </c>
      <c r="E318" t="s">
        <v>11</v>
      </c>
      <c r="F318" t="s">
        <v>634</v>
      </c>
      <c r="G318" t="s">
        <v>643</v>
      </c>
      <c r="H318" s="4">
        <v>46006</v>
      </c>
      <c r="I318" s="40">
        <v>0.40512731481481479</v>
      </c>
      <c r="J318" t="s">
        <v>626</v>
      </c>
      <c r="M318" t="s">
        <v>627</v>
      </c>
      <c r="N318" t="s">
        <v>628</v>
      </c>
    </row>
    <row r="319" spans="1:14" x14ac:dyDescent="0.25">
      <c r="A319" t="s">
        <v>996</v>
      </c>
      <c r="B319">
        <v>354476</v>
      </c>
      <c r="C319">
        <v>2690</v>
      </c>
      <c r="D319" t="s">
        <v>332</v>
      </c>
      <c r="E319" t="s">
        <v>11</v>
      </c>
      <c r="F319" t="s">
        <v>636</v>
      </c>
      <c r="G319" t="s">
        <v>643</v>
      </c>
      <c r="H319" s="4">
        <v>46006</v>
      </c>
      <c r="I319" s="40">
        <v>0.40513888888888888</v>
      </c>
      <c r="J319" t="s">
        <v>626</v>
      </c>
      <c r="M319" t="s">
        <v>627</v>
      </c>
      <c r="N319" t="s">
        <v>628</v>
      </c>
    </row>
    <row r="320" spans="1:14" x14ac:dyDescent="0.25">
      <c r="A320" t="s">
        <v>997</v>
      </c>
      <c r="B320">
        <v>354476</v>
      </c>
      <c r="C320">
        <v>2690</v>
      </c>
      <c r="D320" t="s">
        <v>332</v>
      </c>
      <c r="E320" t="s">
        <v>11</v>
      </c>
      <c r="F320" t="s">
        <v>761</v>
      </c>
      <c r="G320" t="s">
        <v>643</v>
      </c>
      <c r="H320" s="4">
        <v>46006</v>
      </c>
      <c r="I320" s="40">
        <v>0.40515046296296298</v>
      </c>
      <c r="J320" t="s">
        <v>626</v>
      </c>
      <c r="M320" t="s">
        <v>627</v>
      </c>
      <c r="N320" t="s">
        <v>628</v>
      </c>
    </row>
    <row r="321" spans="1:14" x14ac:dyDescent="0.25">
      <c r="A321" t="s">
        <v>998</v>
      </c>
      <c r="B321">
        <v>354476</v>
      </c>
      <c r="C321">
        <v>2690</v>
      </c>
      <c r="D321" t="s">
        <v>332</v>
      </c>
      <c r="E321" t="s">
        <v>11</v>
      </c>
      <c r="F321" t="s">
        <v>642</v>
      </c>
      <c r="G321" t="s">
        <v>643</v>
      </c>
      <c r="H321" s="4">
        <v>46006</v>
      </c>
      <c r="I321" s="40">
        <v>0.40516203703703701</v>
      </c>
      <c r="J321" t="s">
        <v>626</v>
      </c>
      <c r="M321" t="s">
        <v>627</v>
      </c>
      <c r="N321" t="s">
        <v>628</v>
      </c>
    </row>
    <row r="322" spans="1:14" x14ac:dyDescent="0.25">
      <c r="A322" t="s">
        <v>999</v>
      </c>
      <c r="B322">
        <v>354476</v>
      </c>
      <c r="C322">
        <v>2690</v>
      </c>
      <c r="D322" t="s">
        <v>332</v>
      </c>
      <c r="E322" t="s">
        <v>11</v>
      </c>
      <c r="F322" t="s">
        <v>645</v>
      </c>
      <c r="G322" t="s">
        <v>643</v>
      </c>
      <c r="H322" s="4">
        <v>46006</v>
      </c>
      <c r="I322" s="40">
        <v>0.40517361111111111</v>
      </c>
      <c r="J322" t="s">
        <v>626</v>
      </c>
      <c r="M322" t="s">
        <v>627</v>
      </c>
      <c r="N322" t="s">
        <v>628</v>
      </c>
    </row>
    <row r="323" spans="1:14" x14ac:dyDescent="0.25">
      <c r="A323" t="s">
        <v>1000</v>
      </c>
      <c r="B323">
        <v>354476</v>
      </c>
      <c r="C323">
        <v>2690</v>
      </c>
      <c r="D323" t="s">
        <v>332</v>
      </c>
      <c r="E323" t="s">
        <v>11</v>
      </c>
      <c r="F323" t="s">
        <v>647</v>
      </c>
      <c r="G323" t="s">
        <v>643</v>
      </c>
      <c r="H323" s="4">
        <v>46006</v>
      </c>
      <c r="I323" s="40">
        <v>0.4051851851851852</v>
      </c>
      <c r="J323" t="s">
        <v>626</v>
      </c>
      <c r="M323" t="s">
        <v>627</v>
      </c>
      <c r="N323" t="s">
        <v>628</v>
      </c>
    </row>
    <row r="324" spans="1:14" x14ac:dyDescent="0.25">
      <c r="A324" t="s">
        <v>1001</v>
      </c>
      <c r="B324">
        <v>354476</v>
      </c>
      <c r="C324">
        <v>2690</v>
      </c>
      <c r="D324" t="s">
        <v>332</v>
      </c>
      <c r="E324" t="s">
        <v>11</v>
      </c>
      <c r="F324" t="s">
        <v>624</v>
      </c>
      <c r="G324" t="s">
        <v>625</v>
      </c>
      <c r="H324" s="4">
        <v>46006</v>
      </c>
      <c r="I324" s="40">
        <v>0.40528935185185183</v>
      </c>
      <c r="J324" t="s">
        <v>626</v>
      </c>
      <c r="M324" t="s">
        <v>627</v>
      </c>
      <c r="N324" t="s">
        <v>628</v>
      </c>
    </row>
    <row r="325" spans="1:14" x14ac:dyDescent="0.25">
      <c r="A325" t="s">
        <v>1002</v>
      </c>
      <c r="B325">
        <v>354476</v>
      </c>
      <c r="C325">
        <v>2690</v>
      </c>
      <c r="D325" t="s">
        <v>332</v>
      </c>
      <c r="E325" t="s">
        <v>11</v>
      </c>
      <c r="F325" t="s">
        <v>630</v>
      </c>
      <c r="G325" t="s">
        <v>625</v>
      </c>
      <c r="H325" s="4">
        <v>46006</v>
      </c>
      <c r="I325" s="40">
        <v>0.40530092592592593</v>
      </c>
      <c r="J325" t="s">
        <v>626</v>
      </c>
      <c r="M325" t="s">
        <v>627</v>
      </c>
      <c r="N325" t="s">
        <v>628</v>
      </c>
    </row>
    <row r="326" spans="1:14" x14ac:dyDescent="0.25">
      <c r="A326" t="s">
        <v>1003</v>
      </c>
      <c r="B326">
        <v>354476</v>
      </c>
      <c r="C326">
        <v>2690</v>
      </c>
      <c r="D326" t="s">
        <v>332</v>
      </c>
      <c r="E326" t="s">
        <v>11</v>
      </c>
      <c r="F326" t="s">
        <v>634</v>
      </c>
      <c r="G326" t="s">
        <v>643</v>
      </c>
      <c r="H326" s="4">
        <v>46006</v>
      </c>
      <c r="I326" s="40">
        <v>0.40531250000000002</v>
      </c>
      <c r="J326" t="s">
        <v>626</v>
      </c>
      <c r="M326" t="s">
        <v>627</v>
      </c>
      <c r="N326" t="s">
        <v>628</v>
      </c>
    </row>
    <row r="327" spans="1:14" x14ac:dyDescent="0.25">
      <c r="A327" t="s">
        <v>1004</v>
      </c>
      <c r="B327">
        <v>354476</v>
      </c>
      <c r="C327">
        <v>2690</v>
      </c>
      <c r="D327" t="s">
        <v>332</v>
      </c>
      <c r="E327" t="s">
        <v>11</v>
      </c>
      <c r="F327" t="s">
        <v>636</v>
      </c>
      <c r="G327" t="s">
        <v>643</v>
      </c>
      <c r="H327" s="4">
        <v>46006</v>
      </c>
      <c r="I327" s="40">
        <v>0.40531250000000002</v>
      </c>
      <c r="J327" t="s">
        <v>626</v>
      </c>
      <c r="M327" t="s">
        <v>627</v>
      </c>
      <c r="N327" t="s">
        <v>628</v>
      </c>
    </row>
    <row r="328" spans="1:14" x14ac:dyDescent="0.25">
      <c r="A328" t="s">
        <v>1005</v>
      </c>
      <c r="B328">
        <v>354476</v>
      </c>
      <c r="C328">
        <v>2690</v>
      </c>
      <c r="D328" t="s">
        <v>332</v>
      </c>
      <c r="E328" t="s">
        <v>11</v>
      </c>
      <c r="F328" t="s">
        <v>761</v>
      </c>
      <c r="G328" t="s">
        <v>643</v>
      </c>
      <c r="H328" s="4">
        <v>46006</v>
      </c>
      <c r="I328" s="40">
        <v>0.40532407407407406</v>
      </c>
      <c r="J328" t="s">
        <v>626</v>
      </c>
      <c r="M328" t="s">
        <v>627</v>
      </c>
      <c r="N328" t="s">
        <v>628</v>
      </c>
    </row>
    <row r="329" spans="1:14" x14ac:dyDescent="0.25">
      <c r="A329" t="s">
        <v>1006</v>
      </c>
      <c r="B329">
        <v>354476</v>
      </c>
      <c r="C329">
        <v>2690</v>
      </c>
      <c r="D329" t="s">
        <v>332</v>
      </c>
      <c r="E329" t="s">
        <v>11</v>
      </c>
      <c r="F329" t="s">
        <v>642</v>
      </c>
      <c r="G329" t="s">
        <v>643</v>
      </c>
      <c r="H329" s="4">
        <v>46006</v>
      </c>
      <c r="I329" s="40">
        <v>0.40533564814814815</v>
      </c>
      <c r="J329" t="s">
        <v>626</v>
      </c>
      <c r="M329" t="s">
        <v>627</v>
      </c>
      <c r="N329" t="s">
        <v>628</v>
      </c>
    </row>
    <row r="330" spans="1:14" x14ac:dyDescent="0.25">
      <c r="A330" t="s">
        <v>1007</v>
      </c>
      <c r="B330">
        <v>354476</v>
      </c>
      <c r="C330">
        <v>2690</v>
      </c>
      <c r="D330" t="s">
        <v>332</v>
      </c>
      <c r="E330" t="s">
        <v>11</v>
      </c>
      <c r="F330" t="s">
        <v>645</v>
      </c>
      <c r="G330" t="s">
        <v>643</v>
      </c>
      <c r="H330" s="4">
        <v>46006</v>
      </c>
      <c r="I330" s="40">
        <v>0.40534722222222225</v>
      </c>
      <c r="J330" t="s">
        <v>626</v>
      </c>
      <c r="M330" t="s">
        <v>627</v>
      </c>
      <c r="N330" t="s">
        <v>628</v>
      </c>
    </row>
    <row r="331" spans="1:14" x14ac:dyDescent="0.25">
      <c r="A331" t="s">
        <v>1008</v>
      </c>
      <c r="B331">
        <v>354476</v>
      </c>
      <c r="C331">
        <v>2690</v>
      </c>
      <c r="D331" t="s">
        <v>332</v>
      </c>
      <c r="E331" t="s">
        <v>11</v>
      </c>
      <c r="F331" t="s">
        <v>647</v>
      </c>
      <c r="G331" t="s">
        <v>643</v>
      </c>
      <c r="H331" s="4">
        <v>46006</v>
      </c>
      <c r="I331" s="40">
        <v>0.40535879629629629</v>
      </c>
      <c r="J331" t="s">
        <v>626</v>
      </c>
      <c r="M331" t="s">
        <v>627</v>
      </c>
      <c r="N331" t="s">
        <v>628</v>
      </c>
    </row>
    <row r="332" spans="1:14" x14ac:dyDescent="0.25">
      <c r="A332" t="s">
        <v>1019</v>
      </c>
      <c r="B332">
        <v>115295</v>
      </c>
      <c r="C332">
        <v>2624</v>
      </c>
      <c r="D332" t="s">
        <v>188</v>
      </c>
      <c r="E332" t="s">
        <v>11</v>
      </c>
      <c r="F332" t="s">
        <v>624</v>
      </c>
      <c r="G332" t="s">
        <v>625</v>
      </c>
      <c r="H332" s="4">
        <v>46006</v>
      </c>
      <c r="I332" s="40">
        <v>0.55791666666666662</v>
      </c>
      <c r="J332" t="s">
        <v>626</v>
      </c>
      <c r="M332" t="s">
        <v>627</v>
      </c>
      <c r="N332" t="s">
        <v>628</v>
      </c>
    </row>
    <row r="333" spans="1:14" x14ac:dyDescent="0.25">
      <c r="A333" t="s">
        <v>1020</v>
      </c>
      <c r="B333">
        <v>115295</v>
      </c>
      <c r="C333">
        <v>2624</v>
      </c>
      <c r="D333" t="s">
        <v>188</v>
      </c>
      <c r="E333" t="s">
        <v>11</v>
      </c>
      <c r="F333" t="s">
        <v>630</v>
      </c>
      <c r="G333" t="s">
        <v>625</v>
      </c>
      <c r="H333" s="4">
        <v>46006</v>
      </c>
      <c r="I333" s="40">
        <v>0.55792824074074077</v>
      </c>
      <c r="J333" t="s">
        <v>626</v>
      </c>
      <c r="M333" t="s">
        <v>627</v>
      </c>
      <c r="N333" t="s">
        <v>628</v>
      </c>
    </row>
    <row r="334" spans="1:14" x14ac:dyDescent="0.25">
      <c r="A334" t="s">
        <v>1021</v>
      </c>
      <c r="B334">
        <v>115295</v>
      </c>
      <c r="C334">
        <v>2624</v>
      </c>
      <c r="D334" t="s">
        <v>188</v>
      </c>
      <c r="E334" t="s">
        <v>11</v>
      </c>
      <c r="F334" t="s">
        <v>632</v>
      </c>
      <c r="G334" t="s">
        <v>625</v>
      </c>
      <c r="H334" s="4">
        <v>46006</v>
      </c>
      <c r="I334" s="40">
        <v>0.55793981481481481</v>
      </c>
      <c r="J334" t="s">
        <v>626</v>
      </c>
      <c r="M334" t="s">
        <v>627</v>
      </c>
      <c r="N334" t="s">
        <v>628</v>
      </c>
    </row>
    <row r="335" spans="1:14" x14ac:dyDescent="0.25">
      <c r="A335" t="s">
        <v>1022</v>
      </c>
      <c r="B335">
        <v>115295</v>
      </c>
      <c r="C335">
        <v>2624</v>
      </c>
      <c r="D335" t="s">
        <v>188</v>
      </c>
      <c r="E335" t="s">
        <v>11</v>
      </c>
      <c r="F335" t="s">
        <v>624</v>
      </c>
      <c r="G335" t="s">
        <v>625</v>
      </c>
      <c r="H335" s="4">
        <v>46006</v>
      </c>
      <c r="I335" s="40">
        <v>0.5587037037037037</v>
      </c>
      <c r="J335" t="s">
        <v>626</v>
      </c>
      <c r="M335" t="s">
        <v>627</v>
      </c>
      <c r="N335" t="s">
        <v>628</v>
      </c>
    </row>
    <row r="336" spans="1:14" x14ac:dyDescent="0.25">
      <c r="A336" t="s">
        <v>1023</v>
      </c>
      <c r="B336">
        <v>115295</v>
      </c>
      <c r="C336">
        <v>2624</v>
      </c>
      <c r="D336" t="s">
        <v>188</v>
      </c>
      <c r="E336" t="s">
        <v>11</v>
      </c>
      <c r="F336" t="s">
        <v>630</v>
      </c>
      <c r="G336" t="s">
        <v>625</v>
      </c>
      <c r="H336" s="4">
        <v>46006</v>
      </c>
      <c r="I336" s="40">
        <v>0.55871527777777774</v>
      </c>
      <c r="J336" t="s">
        <v>626</v>
      </c>
      <c r="M336" t="s">
        <v>627</v>
      </c>
      <c r="N336" t="s">
        <v>628</v>
      </c>
    </row>
    <row r="337" spans="1:14" x14ac:dyDescent="0.25">
      <c r="A337" t="s">
        <v>1024</v>
      </c>
      <c r="B337">
        <v>115295</v>
      </c>
      <c r="C337">
        <v>2624</v>
      </c>
      <c r="D337" t="s">
        <v>188</v>
      </c>
      <c r="E337" t="s">
        <v>11</v>
      </c>
      <c r="F337" t="s">
        <v>632</v>
      </c>
      <c r="G337" t="s">
        <v>625</v>
      </c>
      <c r="H337" s="4">
        <v>46006</v>
      </c>
      <c r="I337" s="40">
        <v>0.55871527777777774</v>
      </c>
      <c r="J337" t="s">
        <v>626</v>
      </c>
      <c r="M337" t="s">
        <v>627</v>
      </c>
      <c r="N337" t="s">
        <v>628</v>
      </c>
    </row>
    <row r="338" spans="1:14" x14ac:dyDescent="0.25">
      <c r="A338" t="s">
        <v>1025</v>
      </c>
      <c r="B338">
        <v>115295</v>
      </c>
      <c r="C338">
        <v>2624</v>
      </c>
      <c r="D338" t="s">
        <v>188</v>
      </c>
      <c r="E338" t="s">
        <v>11</v>
      </c>
      <c r="F338" t="s">
        <v>634</v>
      </c>
      <c r="G338" t="s">
        <v>625</v>
      </c>
      <c r="H338" s="4">
        <v>46006</v>
      </c>
      <c r="I338" s="40">
        <v>0.55872685185185189</v>
      </c>
      <c r="J338" t="s">
        <v>626</v>
      </c>
      <c r="M338" t="s">
        <v>627</v>
      </c>
      <c r="N338" t="s">
        <v>628</v>
      </c>
    </row>
    <row r="339" spans="1:14" x14ac:dyDescent="0.25">
      <c r="A339" t="s">
        <v>1026</v>
      </c>
      <c r="B339">
        <v>115295</v>
      </c>
      <c r="C339">
        <v>2624</v>
      </c>
      <c r="D339" t="s">
        <v>188</v>
      </c>
      <c r="E339" t="s">
        <v>11</v>
      </c>
      <c r="F339" t="s">
        <v>636</v>
      </c>
      <c r="G339" t="s">
        <v>625</v>
      </c>
      <c r="H339" s="4">
        <v>46006</v>
      </c>
      <c r="I339" s="40">
        <v>0.55873842592592593</v>
      </c>
      <c r="J339" t="s">
        <v>626</v>
      </c>
      <c r="M339" t="s">
        <v>627</v>
      </c>
      <c r="N339" t="s">
        <v>628</v>
      </c>
    </row>
    <row r="340" spans="1:14" x14ac:dyDescent="0.25">
      <c r="A340" t="s">
        <v>1027</v>
      </c>
      <c r="B340">
        <v>115295</v>
      </c>
      <c r="C340">
        <v>2624</v>
      </c>
      <c r="D340" t="s">
        <v>188</v>
      </c>
      <c r="E340" t="s">
        <v>11</v>
      </c>
      <c r="F340" t="s">
        <v>761</v>
      </c>
      <c r="G340" t="s">
        <v>625</v>
      </c>
      <c r="H340" s="4">
        <v>46006</v>
      </c>
      <c r="I340" s="40">
        <v>0.55874999999999997</v>
      </c>
      <c r="J340" t="s">
        <v>626</v>
      </c>
      <c r="M340" t="s">
        <v>627</v>
      </c>
      <c r="N340" t="s">
        <v>628</v>
      </c>
    </row>
    <row r="341" spans="1:14" x14ac:dyDescent="0.25">
      <c r="A341" t="s">
        <v>1028</v>
      </c>
      <c r="B341">
        <v>115295</v>
      </c>
      <c r="C341">
        <v>2624</v>
      </c>
      <c r="D341" t="s">
        <v>188</v>
      </c>
      <c r="E341" t="s">
        <v>11</v>
      </c>
      <c r="F341" t="s">
        <v>642</v>
      </c>
      <c r="G341" t="s">
        <v>625</v>
      </c>
      <c r="H341" s="4">
        <v>46006</v>
      </c>
      <c r="I341" s="40">
        <v>0.55876157407407412</v>
      </c>
      <c r="J341" t="s">
        <v>626</v>
      </c>
      <c r="M341" t="s">
        <v>627</v>
      </c>
      <c r="N341" t="s">
        <v>628</v>
      </c>
    </row>
    <row r="342" spans="1:14" x14ac:dyDescent="0.25">
      <c r="A342" t="s">
        <v>1029</v>
      </c>
      <c r="B342">
        <v>115295</v>
      </c>
      <c r="C342">
        <v>2624</v>
      </c>
      <c r="D342" t="s">
        <v>188</v>
      </c>
      <c r="E342" t="s">
        <v>11</v>
      </c>
      <c r="F342" t="s">
        <v>645</v>
      </c>
      <c r="G342" t="s">
        <v>625</v>
      </c>
      <c r="H342" s="4">
        <v>46006</v>
      </c>
      <c r="I342" s="40">
        <v>0.55876157407407412</v>
      </c>
      <c r="J342" t="s">
        <v>626</v>
      </c>
      <c r="M342" t="s">
        <v>627</v>
      </c>
      <c r="N342" t="s">
        <v>628</v>
      </c>
    </row>
    <row r="343" spans="1:14" x14ac:dyDescent="0.25">
      <c r="A343" t="s">
        <v>1030</v>
      </c>
      <c r="B343">
        <v>115295</v>
      </c>
      <c r="C343">
        <v>2624</v>
      </c>
      <c r="D343" t="s">
        <v>188</v>
      </c>
      <c r="E343" t="s">
        <v>11</v>
      </c>
      <c r="F343" t="s">
        <v>647</v>
      </c>
      <c r="G343" t="s">
        <v>625</v>
      </c>
      <c r="H343" s="4">
        <v>46006</v>
      </c>
      <c r="I343" s="40">
        <v>0.55877314814814816</v>
      </c>
      <c r="J343" t="s">
        <v>626</v>
      </c>
      <c r="M343" t="s">
        <v>627</v>
      </c>
      <c r="N343" t="s">
        <v>628</v>
      </c>
    </row>
    <row r="344" spans="1:14" x14ac:dyDescent="0.25">
      <c r="A344" t="s">
        <v>1031</v>
      </c>
      <c r="B344">
        <v>452861</v>
      </c>
      <c r="C344">
        <v>1741</v>
      </c>
      <c r="D344" t="s">
        <v>620</v>
      </c>
      <c r="E344" t="s">
        <v>87</v>
      </c>
      <c r="F344" t="s">
        <v>624</v>
      </c>
      <c r="G344" t="s">
        <v>625</v>
      </c>
      <c r="H344" s="4">
        <v>46006</v>
      </c>
      <c r="I344" s="40">
        <v>0.5599305555555556</v>
      </c>
      <c r="J344" t="s">
        <v>626</v>
      </c>
      <c r="M344" t="s">
        <v>627</v>
      </c>
      <c r="N344" t="s">
        <v>628</v>
      </c>
    </row>
    <row r="345" spans="1:14" x14ac:dyDescent="0.25">
      <c r="A345" t="s">
        <v>1032</v>
      </c>
      <c r="B345">
        <v>452861</v>
      </c>
      <c r="C345">
        <v>1741</v>
      </c>
      <c r="D345" t="s">
        <v>620</v>
      </c>
      <c r="E345" t="s">
        <v>87</v>
      </c>
      <c r="F345" t="s">
        <v>630</v>
      </c>
      <c r="G345" t="s">
        <v>625</v>
      </c>
      <c r="H345" s="4">
        <v>46006</v>
      </c>
      <c r="I345" s="40">
        <v>0.5599305555555556</v>
      </c>
      <c r="J345" t="s">
        <v>626</v>
      </c>
      <c r="M345" t="s">
        <v>627</v>
      </c>
      <c r="N345" t="s">
        <v>628</v>
      </c>
    </row>
    <row r="346" spans="1:14" x14ac:dyDescent="0.25">
      <c r="A346" t="s">
        <v>1033</v>
      </c>
      <c r="B346">
        <v>452861</v>
      </c>
      <c r="C346">
        <v>1741</v>
      </c>
      <c r="D346" t="s">
        <v>620</v>
      </c>
      <c r="E346" t="s">
        <v>87</v>
      </c>
      <c r="F346" t="s">
        <v>632</v>
      </c>
      <c r="G346" t="s">
        <v>625</v>
      </c>
      <c r="H346" s="4">
        <v>46006</v>
      </c>
      <c r="I346" s="40">
        <v>0.55994212962962964</v>
      </c>
      <c r="J346" t="s">
        <v>626</v>
      </c>
      <c r="M346" t="s">
        <v>627</v>
      </c>
      <c r="N346" t="s">
        <v>628</v>
      </c>
    </row>
    <row r="347" spans="1:14" x14ac:dyDescent="0.25">
      <c r="A347" t="s">
        <v>1034</v>
      </c>
      <c r="B347">
        <v>452861</v>
      </c>
      <c r="C347">
        <v>1741</v>
      </c>
      <c r="D347" t="s">
        <v>620</v>
      </c>
      <c r="E347" t="s">
        <v>87</v>
      </c>
      <c r="F347" t="s">
        <v>634</v>
      </c>
      <c r="G347" t="s">
        <v>625</v>
      </c>
      <c r="H347" s="4">
        <v>46006</v>
      </c>
      <c r="I347" s="40">
        <v>0.55995370370370368</v>
      </c>
      <c r="J347" t="s">
        <v>626</v>
      </c>
      <c r="M347" t="s">
        <v>627</v>
      </c>
      <c r="N347" t="s">
        <v>628</v>
      </c>
    </row>
    <row r="348" spans="1:14" x14ac:dyDescent="0.25">
      <c r="A348" t="s">
        <v>1035</v>
      </c>
      <c r="B348">
        <v>452861</v>
      </c>
      <c r="C348">
        <v>1741</v>
      </c>
      <c r="D348" t="s">
        <v>620</v>
      </c>
      <c r="E348" t="s">
        <v>87</v>
      </c>
      <c r="F348" t="s">
        <v>636</v>
      </c>
      <c r="G348" t="s">
        <v>625</v>
      </c>
      <c r="H348" s="4">
        <v>46006</v>
      </c>
      <c r="I348" s="40">
        <v>0.55996527777777783</v>
      </c>
      <c r="J348" t="s">
        <v>626</v>
      </c>
      <c r="M348" t="s">
        <v>627</v>
      </c>
      <c r="N348" t="s">
        <v>628</v>
      </c>
    </row>
    <row r="349" spans="1:14" x14ac:dyDescent="0.25">
      <c r="A349" t="s">
        <v>1036</v>
      </c>
      <c r="B349">
        <v>452861</v>
      </c>
      <c r="C349">
        <v>1741</v>
      </c>
      <c r="D349" t="s">
        <v>620</v>
      </c>
      <c r="E349" t="s">
        <v>87</v>
      </c>
      <c r="F349" t="s">
        <v>761</v>
      </c>
      <c r="G349" t="s">
        <v>625</v>
      </c>
      <c r="H349" s="4">
        <v>46006</v>
      </c>
      <c r="I349" s="40">
        <v>0.55997685185185186</v>
      </c>
      <c r="J349" t="s">
        <v>626</v>
      </c>
      <c r="M349" t="s">
        <v>627</v>
      </c>
      <c r="N349" t="s">
        <v>628</v>
      </c>
    </row>
    <row r="350" spans="1:14" x14ac:dyDescent="0.25">
      <c r="A350" t="s">
        <v>1037</v>
      </c>
      <c r="B350">
        <v>452861</v>
      </c>
      <c r="C350">
        <v>1741</v>
      </c>
      <c r="D350" t="s">
        <v>620</v>
      </c>
      <c r="E350" t="s">
        <v>87</v>
      </c>
      <c r="F350" t="s">
        <v>642</v>
      </c>
      <c r="G350" t="s">
        <v>625</v>
      </c>
      <c r="H350" s="4">
        <v>46006</v>
      </c>
      <c r="I350" s="40">
        <v>0.55997685185185186</v>
      </c>
      <c r="J350" t="s">
        <v>626</v>
      </c>
      <c r="M350" t="s">
        <v>627</v>
      </c>
      <c r="N350" t="s">
        <v>628</v>
      </c>
    </row>
    <row r="351" spans="1:14" x14ac:dyDescent="0.25">
      <c r="A351" t="s">
        <v>1038</v>
      </c>
      <c r="B351">
        <v>452861</v>
      </c>
      <c r="C351">
        <v>1741</v>
      </c>
      <c r="D351" t="s">
        <v>620</v>
      </c>
      <c r="E351" t="s">
        <v>87</v>
      </c>
      <c r="F351" t="s">
        <v>645</v>
      </c>
      <c r="G351" t="s">
        <v>666</v>
      </c>
      <c r="H351" s="4">
        <v>46006</v>
      </c>
      <c r="I351" s="40">
        <v>0.5599884259259259</v>
      </c>
      <c r="J351" t="s">
        <v>626</v>
      </c>
      <c r="L351" t="s">
        <v>1039</v>
      </c>
      <c r="M351" t="s">
        <v>627</v>
      </c>
      <c r="N351" t="s">
        <v>628</v>
      </c>
    </row>
    <row r="352" spans="1:14" x14ac:dyDescent="0.25">
      <c r="A352" t="s">
        <v>1040</v>
      </c>
      <c r="B352">
        <v>452861</v>
      </c>
      <c r="C352">
        <v>1741</v>
      </c>
      <c r="D352" t="s">
        <v>620</v>
      </c>
      <c r="E352" t="s">
        <v>87</v>
      </c>
      <c r="F352" t="s">
        <v>647</v>
      </c>
      <c r="G352" t="s">
        <v>625</v>
      </c>
      <c r="H352" s="4">
        <v>46006</v>
      </c>
      <c r="I352" s="40">
        <v>0.56000000000000005</v>
      </c>
      <c r="J352" t="s">
        <v>626</v>
      </c>
      <c r="M352" t="s">
        <v>627</v>
      </c>
      <c r="N352" t="s">
        <v>628</v>
      </c>
    </row>
    <row r="353" spans="1:14" x14ac:dyDescent="0.25">
      <c r="A353" t="s">
        <v>1041</v>
      </c>
      <c r="B353">
        <v>452861</v>
      </c>
      <c r="C353">
        <v>1741</v>
      </c>
      <c r="D353" t="s">
        <v>620</v>
      </c>
      <c r="E353" t="s">
        <v>87</v>
      </c>
      <c r="F353" t="s">
        <v>624</v>
      </c>
      <c r="G353" t="s">
        <v>625</v>
      </c>
      <c r="H353" s="4">
        <v>46006</v>
      </c>
      <c r="I353" s="40">
        <v>0.56534722222222222</v>
      </c>
      <c r="J353" t="s">
        <v>626</v>
      </c>
      <c r="M353" t="s">
        <v>627</v>
      </c>
      <c r="N353" t="s">
        <v>628</v>
      </c>
    </row>
    <row r="354" spans="1:14" x14ac:dyDescent="0.25">
      <c r="A354" t="s">
        <v>1042</v>
      </c>
      <c r="B354">
        <v>452861</v>
      </c>
      <c r="C354">
        <v>1741</v>
      </c>
      <c r="D354" t="s">
        <v>620</v>
      </c>
      <c r="E354" t="s">
        <v>87</v>
      </c>
      <c r="F354" t="s">
        <v>630</v>
      </c>
      <c r="G354" t="s">
        <v>625</v>
      </c>
      <c r="H354" s="4">
        <v>46006</v>
      </c>
      <c r="I354" s="40">
        <v>0.56535879629629626</v>
      </c>
      <c r="J354" t="s">
        <v>626</v>
      </c>
      <c r="M354" t="s">
        <v>627</v>
      </c>
      <c r="N354" t="s">
        <v>628</v>
      </c>
    </row>
    <row r="355" spans="1:14" x14ac:dyDescent="0.25">
      <c r="A355" t="s">
        <v>1043</v>
      </c>
      <c r="B355">
        <v>452861</v>
      </c>
      <c r="C355">
        <v>1741</v>
      </c>
      <c r="D355" t="s">
        <v>620</v>
      </c>
      <c r="E355" t="s">
        <v>87</v>
      </c>
      <c r="F355" t="s">
        <v>632</v>
      </c>
      <c r="G355" t="s">
        <v>625</v>
      </c>
      <c r="H355" s="4">
        <v>46006</v>
      </c>
      <c r="I355" s="40">
        <v>0.56537037037037041</v>
      </c>
      <c r="J355" t="s">
        <v>626</v>
      </c>
      <c r="M355" t="s">
        <v>627</v>
      </c>
      <c r="N355" t="s">
        <v>628</v>
      </c>
    </row>
    <row r="356" spans="1:14" x14ac:dyDescent="0.25">
      <c r="A356" t="s">
        <v>1044</v>
      </c>
      <c r="B356">
        <v>452861</v>
      </c>
      <c r="C356">
        <v>1741</v>
      </c>
      <c r="D356" t="s">
        <v>620</v>
      </c>
      <c r="E356" t="s">
        <v>87</v>
      </c>
      <c r="F356" t="s">
        <v>634</v>
      </c>
      <c r="G356" t="s">
        <v>625</v>
      </c>
      <c r="H356" s="4">
        <v>46006</v>
      </c>
      <c r="I356" s="40">
        <v>0.56538194444444445</v>
      </c>
      <c r="J356" t="s">
        <v>626</v>
      </c>
      <c r="M356" t="s">
        <v>627</v>
      </c>
      <c r="N356" t="s">
        <v>628</v>
      </c>
    </row>
    <row r="357" spans="1:14" x14ac:dyDescent="0.25">
      <c r="A357" t="s">
        <v>1045</v>
      </c>
      <c r="B357">
        <v>452861</v>
      </c>
      <c r="C357">
        <v>1741</v>
      </c>
      <c r="D357" t="s">
        <v>620</v>
      </c>
      <c r="E357" t="s">
        <v>87</v>
      </c>
      <c r="F357" t="s">
        <v>636</v>
      </c>
      <c r="G357" t="s">
        <v>625</v>
      </c>
      <c r="H357" s="4">
        <v>46006</v>
      </c>
      <c r="I357" s="40">
        <v>0.56539351851851849</v>
      </c>
      <c r="J357" t="s">
        <v>626</v>
      </c>
      <c r="M357" t="s">
        <v>627</v>
      </c>
      <c r="N357" t="s">
        <v>628</v>
      </c>
    </row>
    <row r="358" spans="1:14" x14ac:dyDescent="0.25">
      <c r="A358" t="s">
        <v>1046</v>
      </c>
      <c r="B358">
        <v>452861</v>
      </c>
      <c r="C358">
        <v>1741</v>
      </c>
      <c r="D358" t="s">
        <v>620</v>
      </c>
      <c r="E358" t="s">
        <v>87</v>
      </c>
      <c r="F358" t="s">
        <v>761</v>
      </c>
      <c r="G358" t="s">
        <v>625</v>
      </c>
      <c r="H358" s="4">
        <v>46006</v>
      </c>
      <c r="I358" s="40">
        <v>0.56539351851851849</v>
      </c>
      <c r="J358" t="s">
        <v>626</v>
      </c>
      <c r="M358" t="s">
        <v>627</v>
      </c>
      <c r="N358" t="s">
        <v>628</v>
      </c>
    </row>
    <row r="359" spans="1:14" x14ac:dyDescent="0.25">
      <c r="A359" t="s">
        <v>1047</v>
      </c>
      <c r="B359">
        <v>452861</v>
      </c>
      <c r="C359">
        <v>1741</v>
      </c>
      <c r="D359" t="s">
        <v>620</v>
      </c>
      <c r="E359" t="s">
        <v>87</v>
      </c>
      <c r="F359" t="s">
        <v>642</v>
      </c>
      <c r="G359" t="s">
        <v>625</v>
      </c>
      <c r="H359" s="4">
        <v>46006</v>
      </c>
      <c r="I359" s="40">
        <v>0.56540509259259264</v>
      </c>
      <c r="J359" t="s">
        <v>626</v>
      </c>
      <c r="M359" t="s">
        <v>627</v>
      </c>
      <c r="N359" t="s">
        <v>628</v>
      </c>
    </row>
    <row r="360" spans="1:14" x14ac:dyDescent="0.25">
      <c r="A360" t="s">
        <v>1048</v>
      </c>
      <c r="B360">
        <v>452861</v>
      </c>
      <c r="C360">
        <v>1741</v>
      </c>
      <c r="D360" t="s">
        <v>620</v>
      </c>
      <c r="E360" t="s">
        <v>87</v>
      </c>
      <c r="F360" t="s">
        <v>645</v>
      </c>
      <c r="G360" t="s">
        <v>666</v>
      </c>
      <c r="H360" s="4">
        <v>46006</v>
      </c>
      <c r="I360" s="40">
        <v>0.56541666666666668</v>
      </c>
      <c r="J360" t="s">
        <v>626</v>
      </c>
      <c r="L360" t="s">
        <v>1049</v>
      </c>
      <c r="M360" t="s">
        <v>627</v>
      </c>
      <c r="N360" t="s">
        <v>628</v>
      </c>
    </row>
    <row r="361" spans="1:14" x14ac:dyDescent="0.25">
      <c r="A361" t="s">
        <v>1050</v>
      </c>
      <c r="B361">
        <v>452861</v>
      </c>
      <c r="C361">
        <v>1741</v>
      </c>
      <c r="D361" t="s">
        <v>620</v>
      </c>
      <c r="E361" t="s">
        <v>87</v>
      </c>
      <c r="F361" t="s">
        <v>647</v>
      </c>
      <c r="G361" t="s">
        <v>625</v>
      </c>
      <c r="H361" s="4">
        <v>46006</v>
      </c>
      <c r="I361" s="40">
        <v>0.56542824074074072</v>
      </c>
      <c r="J361" t="s">
        <v>626</v>
      </c>
      <c r="M361" t="s">
        <v>627</v>
      </c>
      <c r="N361" t="s">
        <v>628</v>
      </c>
    </row>
    <row r="362" spans="1:14" x14ac:dyDescent="0.25">
      <c r="A362" t="s">
        <v>1051</v>
      </c>
      <c r="B362">
        <v>452861</v>
      </c>
      <c r="C362">
        <v>1741</v>
      </c>
      <c r="D362" t="s">
        <v>620</v>
      </c>
      <c r="E362" t="s">
        <v>87</v>
      </c>
      <c r="F362" t="s">
        <v>624</v>
      </c>
      <c r="G362" t="s">
        <v>625</v>
      </c>
      <c r="H362" s="4">
        <v>46006</v>
      </c>
      <c r="I362" s="40">
        <v>0.56556712962962963</v>
      </c>
      <c r="J362" t="s">
        <v>626</v>
      </c>
      <c r="M362" t="s">
        <v>627</v>
      </c>
      <c r="N362" t="s">
        <v>628</v>
      </c>
    </row>
    <row r="363" spans="1:14" x14ac:dyDescent="0.25">
      <c r="A363" t="s">
        <v>1052</v>
      </c>
      <c r="B363">
        <v>452861</v>
      </c>
      <c r="C363">
        <v>1741</v>
      </c>
      <c r="D363" t="s">
        <v>620</v>
      </c>
      <c r="E363" t="s">
        <v>87</v>
      </c>
      <c r="F363" t="s">
        <v>630</v>
      </c>
      <c r="G363" t="s">
        <v>625</v>
      </c>
      <c r="H363" s="4">
        <v>46006</v>
      </c>
      <c r="I363" s="40">
        <v>0.56557870370370367</v>
      </c>
      <c r="J363" t="s">
        <v>626</v>
      </c>
      <c r="M363" t="s">
        <v>627</v>
      </c>
      <c r="N363" t="s">
        <v>628</v>
      </c>
    </row>
    <row r="364" spans="1:14" x14ac:dyDescent="0.25">
      <c r="A364" t="s">
        <v>1053</v>
      </c>
      <c r="B364">
        <v>452861</v>
      </c>
      <c r="C364">
        <v>1741</v>
      </c>
      <c r="D364" t="s">
        <v>620</v>
      </c>
      <c r="E364" t="s">
        <v>87</v>
      </c>
      <c r="F364" t="s">
        <v>632</v>
      </c>
      <c r="G364" t="s">
        <v>625</v>
      </c>
      <c r="H364" s="4">
        <v>46006</v>
      </c>
      <c r="I364" s="40">
        <v>0.56559027777777782</v>
      </c>
      <c r="J364" t="s">
        <v>626</v>
      </c>
      <c r="M364" t="s">
        <v>627</v>
      </c>
      <c r="N364" t="s">
        <v>628</v>
      </c>
    </row>
    <row r="365" spans="1:14" x14ac:dyDescent="0.25">
      <c r="A365" t="s">
        <v>1054</v>
      </c>
      <c r="B365">
        <v>452861</v>
      </c>
      <c r="C365">
        <v>1741</v>
      </c>
      <c r="D365" t="s">
        <v>620</v>
      </c>
      <c r="E365" t="s">
        <v>87</v>
      </c>
      <c r="F365" t="s">
        <v>634</v>
      </c>
      <c r="G365" t="s">
        <v>625</v>
      </c>
      <c r="H365" s="4">
        <v>46006</v>
      </c>
      <c r="I365" s="40">
        <v>0.56560185185185186</v>
      </c>
      <c r="J365" t="s">
        <v>626</v>
      </c>
      <c r="M365" t="s">
        <v>627</v>
      </c>
      <c r="N365" t="s">
        <v>628</v>
      </c>
    </row>
    <row r="366" spans="1:14" x14ac:dyDescent="0.25">
      <c r="A366" t="s">
        <v>1055</v>
      </c>
      <c r="B366">
        <v>452861</v>
      </c>
      <c r="C366">
        <v>1741</v>
      </c>
      <c r="D366" t="s">
        <v>620</v>
      </c>
      <c r="E366" t="s">
        <v>87</v>
      </c>
      <c r="F366" t="s">
        <v>636</v>
      </c>
      <c r="G366" t="s">
        <v>625</v>
      </c>
      <c r="H366" s="4">
        <v>46006</v>
      </c>
      <c r="I366" s="40">
        <v>0.56560185185185186</v>
      </c>
      <c r="J366" t="s">
        <v>626</v>
      </c>
      <c r="M366" t="s">
        <v>627</v>
      </c>
      <c r="N366" t="s">
        <v>628</v>
      </c>
    </row>
    <row r="367" spans="1:14" x14ac:dyDescent="0.25">
      <c r="A367" t="s">
        <v>1056</v>
      </c>
      <c r="B367">
        <v>452861</v>
      </c>
      <c r="C367">
        <v>1741</v>
      </c>
      <c r="D367" t="s">
        <v>620</v>
      </c>
      <c r="E367" t="s">
        <v>87</v>
      </c>
      <c r="F367" t="s">
        <v>761</v>
      </c>
      <c r="G367" t="s">
        <v>625</v>
      </c>
      <c r="H367" s="4">
        <v>46006</v>
      </c>
      <c r="I367" s="40">
        <v>0.56561342592592589</v>
      </c>
      <c r="J367" t="s">
        <v>626</v>
      </c>
      <c r="M367" t="s">
        <v>627</v>
      </c>
      <c r="N367" t="s">
        <v>628</v>
      </c>
    </row>
    <row r="368" spans="1:14" x14ac:dyDescent="0.25">
      <c r="A368" t="s">
        <v>1057</v>
      </c>
      <c r="B368">
        <v>452861</v>
      </c>
      <c r="C368">
        <v>1741</v>
      </c>
      <c r="D368" t="s">
        <v>620</v>
      </c>
      <c r="E368" t="s">
        <v>87</v>
      </c>
      <c r="F368" t="s">
        <v>642</v>
      </c>
      <c r="G368" t="s">
        <v>625</v>
      </c>
      <c r="H368" s="4">
        <v>46006</v>
      </c>
      <c r="I368" s="40">
        <v>0.56562500000000004</v>
      </c>
      <c r="J368" t="s">
        <v>626</v>
      </c>
      <c r="M368" t="s">
        <v>627</v>
      </c>
      <c r="N368" t="s">
        <v>628</v>
      </c>
    </row>
    <row r="369" spans="1:14" x14ac:dyDescent="0.25">
      <c r="A369" t="s">
        <v>1058</v>
      </c>
      <c r="B369">
        <v>452861</v>
      </c>
      <c r="C369">
        <v>1741</v>
      </c>
      <c r="D369" t="s">
        <v>620</v>
      </c>
      <c r="E369" t="s">
        <v>87</v>
      </c>
      <c r="F369" t="s">
        <v>645</v>
      </c>
      <c r="G369" t="s">
        <v>666</v>
      </c>
      <c r="H369" s="4">
        <v>46006</v>
      </c>
      <c r="I369" s="40">
        <v>0.56563657407407408</v>
      </c>
      <c r="J369" t="s">
        <v>626</v>
      </c>
      <c r="M369" t="s">
        <v>627</v>
      </c>
      <c r="N369" t="s">
        <v>628</v>
      </c>
    </row>
    <row r="370" spans="1:14" x14ac:dyDescent="0.25">
      <c r="A370" t="s">
        <v>1059</v>
      </c>
      <c r="B370">
        <v>452861</v>
      </c>
      <c r="C370">
        <v>1741</v>
      </c>
      <c r="D370" t="s">
        <v>620</v>
      </c>
      <c r="E370" t="s">
        <v>87</v>
      </c>
      <c r="F370" t="s">
        <v>647</v>
      </c>
      <c r="G370" t="s">
        <v>625</v>
      </c>
      <c r="H370" s="4">
        <v>46006</v>
      </c>
      <c r="I370" s="40">
        <v>0.56564814814814812</v>
      </c>
      <c r="J370" t="s">
        <v>626</v>
      </c>
      <c r="M370" t="s">
        <v>627</v>
      </c>
      <c r="N370" t="s">
        <v>628</v>
      </c>
    </row>
    <row r="371" spans="1:14" x14ac:dyDescent="0.25">
      <c r="A371" t="s">
        <v>1060</v>
      </c>
      <c r="B371">
        <v>452861</v>
      </c>
      <c r="C371">
        <v>1741</v>
      </c>
      <c r="D371" t="s">
        <v>620</v>
      </c>
      <c r="E371" t="s">
        <v>87</v>
      </c>
      <c r="F371" t="s">
        <v>624</v>
      </c>
      <c r="G371" t="s">
        <v>625</v>
      </c>
      <c r="H371" s="4">
        <v>46006</v>
      </c>
      <c r="I371" s="40">
        <v>0.56612268518518516</v>
      </c>
      <c r="J371" t="s">
        <v>626</v>
      </c>
      <c r="M371" t="s">
        <v>627</v>
      </c>
      <c r="N371" t="s">
        <v>628</v>
      </c>
    </row>
    <row r="372" spans="1:14" x14ac:dyDescent="0.25">
      <c r="A372" t="s">
        <v>1061</v>
      </c>
      <c r="B372">
        <v>452861</v>
      </c>
      <c r="C372">
        <v>1741</v>
      </c>
      <c r="D372" t="s">
        <v>620</v>
      </c>
      <c r="E372" t="s">
        <v>87</v>
      </c>
      <c r="F372" t="s">
        <v>630</v>
      </c>
      <c r="G372" t="s">
        <v>625</v>
      </c>
      <c r="H372" s="4">
        <v>46006</v>
      </c>
      <c r="I372" s="40">
        <v>0.56613425925925931</v>
      </c>
      <c r="J372" t="s">
        <v>626</v>
      </c>
      <c r="M372" t="s">
        <v>627</v>
      </c>
      <c r="N372" t="s">
        <v>628</v>
      </c>
    </row>
    <row r="373" spans="1:14" x14ac:dyDescent="0.25">
      <c r="A373" t="s">
        <v>1062</v>
      </c>
      <c r="B373">
        <v>452861</v>
      </c>
      <c r="C373">
        <v>1741</v>
      </c>
      <c r="D373" t="s">
        <v>620</v>
      </c>
      <c r="E373" t="s">
        <v>87</v>
      </c>
      <c r="F373" t="s">
        <v>632</v>
      </c>
      <c r="G373" t="s">
        <v>625</v>
      </c>
      <c r="H373" s="4">
        <v>46006</v>
      </c>
      <c r="I373" s="40">
        <v>0.56613425925925931</v>
      </c>
      <c r="J373" t="s">
        <v>626</v>
      </c>
      <c r="M373" t="s">
        <v>627</v>
      </c>
      <c r="N373" t="s">
        <v>628</v>
      </c>
    </row>
    <row r="374" spans="1:14" x14ac:dyDescent="0.25">
      <c r="A374" t="s">
        <v>1063</v>
      </c>
      <c r="B374">
        <v>452861</v>
      </c>
      <c r="C374">
        <v>1741</v>
      </c>
      <c r="D374" t="s">
        <v>620</v>
      </c>
      <c r="E374" t="s">
        <v>87</v>
      </c>
      <c r="F374" t="s">
        <v>634</v>
      </c>
      <c r="G374" t="s">
        <v>625</v>
      </c>
      <c r="H374" s="4">
        <v>46006</v>
      </c>
      <c r="I374" s="40">
        <v>0.56614583333333335</v>
      </c>
      <c r="J374" t="s">
        <v>626</v>
      </c>
      <c r="M374" t="s">
        <v>627</v>
      </c>
      <c r="N374" t="s">
        <v>628</v>
      </c>
    </row>
    <row r="375" spans="1:14" x14ac:dyDescent="0.25">
      <c r="A375" t="s">
        <v>1064</v>
      </c>
      <c r="B375">
        <v>452861</v>
      </c>
      <c r="C375">
        <v>1741</v>
      </c>
      <c r="D375" t="s">
        <v>620</v>
      </c>
      <c r="E375" t="s">
        <v>87</v>
      </c>
      <c r="F375" t="s">
        <v>636</v>
      </c>
      <c r="G375" t="s">
        <v>625</v>
      </c>
      <c r="H375" s="4">
        <v>46006</v>
      </c>
      <c r="I375" s="40">
        <v>0.56614583333333335</v>
      </c>
      <c r="J375" t="s">
        <v>626</v>
      </c>
      <c r="M375" t="s">
        <v>627</v>
      </c>
      <c r="N375" t="s">
        <v>628</v>
      </c>
    </row>
    <row r="376" spans="1:14" x14ac:dyDescent="0.25">
      <c r="A376" t="s">
        <v>1065</v>
      </c>
      <c r="B376">
        <v>452861</v>
      </c>
      <c r="C376">
        <v>1741</v>
      </c>
      <c r="D376" t="s">
        <v>620</v>
      </c>
      <c r="E376" t="s">
        <v>87</v>
      </c>
      <c r="F376" t="s">
        <v>761</v>
      </c>
      <c r="G376" t="s">
        <v>625</v>
      </c>
      <c r="H376" s="4">
        <v>46006</v>
      </c>
      <c r="I376" s="40">
        <v>0.56615740740740739</v>
      </c>
      <c r="J376" t="s">
        <v>626</v>
      </c>
      <c r="M376" t="s">
        <v>627</v>
      </c>
      <c r="N376" t="s">
        <v>628</v>
      </c>
    </row>
    <row r="377" spans="1:14" x14ac:dyDescent="0.25">
      <c r="A377" t="s">
        <v>1066</v>
      </c>
      <c r="B377">
        <v>452861</v>
      </c>
      <c r="C377">
        <v>1741</v>
      </c>
      <c r="D377" t="s">
        <v>620</v>
      </c>
      <c r="E377" t="s">
        <v>87</v>
      </c>
      <c r="F377" t="s">
        <v>642</v>
      </c>
      <c r="G377" t="s">
        <v>625</v>
      </c>
      <c r="H377" s="4">
        <v>46006</v>
      </c>
      <c r="I377" s="40">
        <v>0.56615740740740739</v>
      </c>
      <c r="J377" t="s">
        <v>626</v>
      </c>
      <c r="M377" t="s">
        <v>627</v>
      </c>
      <c r="N377" t="s">
        <v>628</v>
      </c>
    </row>
    <row r="378" spans="1:14" x14ac:dyDescent="0.25">
      <c r="A378" t="s">
        <v>1067</v>
      </c>
      <c r="B378">
        <v>452861</v>
      </c>
      <c r="C378">
        <v>1741</v>
      </c>
      <c r="D378" t="s">
        <v>620</v>
      </c>
      <c r="E378" t="s">
        <v>87</v>
      </c>
      <c r="F378" t="s">
        <v>645</v>
      </c>
      <c r="G378" t="s">
        <v>666</v>
      </c>
      <c r="H378" s="4">
        <v>46006</v>
      </c>
      <c r="I378" s="40">
        <v>0.56616898148148154</v>
      </c>
      <c r="J378" t="s">
        <v>626</v>
      </c>
      <c r="L378" t="s">
        <v>1049</v>
      </c>
      <c r="M378" t="s">
        <v>627</v>
      </c>
      <c r="N378" t="s">
        <v>628</v>
      </c>
    </row>
    <row r="379" spans="1:14" x14ac:dyDescent="0.25">
      <c r="A379" t="s">
        <v>1068</v>
      </c>
      <c r="B379">
        <v>452861</v>
      </c>
      <c r="C379">
        <v>1741</v>
      </c>
      <c r="D379" t="s">
        <v>620</v>
      </c>
      <c r="E379" t="s">
        <v>87</v>
      </c>
      <c r="F379" t="s">
        <v>647</v>
      </c>
      <c r="G379" t="s">
        <v>625</v>
      </c>
      <c r="H379" s="4">
        <v>46006</v>
      </c>
      <c r="I379" s="40">
        <v>0.56616898148148154</v>
      </c>
      <c r="J379" t="s">
        <v>626</v>
      </c>
      <c r="M379" t="s">
        <v>627</v>
      </c>
      <c r="N379" t="s">
        <v>628</v>
      </c>
    </row>
    <row r="380" spans="1:14" x14ac:dyDescent="0.25">
      <c r="A380" t="s">
        <v>1100</v>
      </c>
      <c r="B380">
        <v>354476</v>
      </c>
      <c r="C380">
        <v>2690</v>
      </c>
      <c r="D380" t="s">
        <v>332</v>
      </c>
      <c r="E380" t="s">
        <v>11</v>
      </c>
      <c r="F380" t="s">
        <v>638</v>
      </c>
      <c r="G380" t="s">
        <v>625</v>
      </c>
      <c r="H380" s="4">
        <v>46007</v>
      </c>
      <c r="I380" s="40">
        <v>0.4591898148148148</v>
      </c>
      <c r="J380" t="s">
        <v>626</v>
      </c>
      <c r="L380" t="s">
        <v>1101</v>
      </c>
      <c r="M380" t="s">
        <v>697</v>
      </c>
      <c r="N380" t="s">
        <v>698</v>
      </c>
    </row>
    <row r="381" spans="1:14" x14ac:dyDescent="0.25">
      <c r="A381" t="s">
        <v>1102</v>
      </c>
      <c r="B381">
        <v>354476</v>
      </c>
      <c r="C381">
        <v>2690</v>
      </c>
      <c r="D381" t="s">
        <v>332</v>
      </c>
      <c r="E381" t="s">
        <v>11</v>
      </c>
      <c r="F381" t="s">
        <v>638</v>
      </c>
      <c r="G381" t="s">
        <v>625</v>
      </c>
      <c r="H381" s="4">
        <v>46007</v>
      </c>
      <c r="I381" s="40">
        <v>0.45957175925925925</v>
      </c>
      <c r="J381" t="s">
        <v>626</v>
      </c>
      <c r="L381" t="s">
        <v>1103</v>
      </c>
      <c r="M381" t="s">
        <v>697</v>
      </c>
      <c r="N381" t="s">
        <v>698</v>
      </c>
    </row>
    <row r="382" spans="1:14" x14ac:dyDescent="0.25">
      <c r="A382" t="s">
        <v>1104</v>
      </c>
      <c r="B382">
        <v>354476</v>
      </c>
      <c r="C382">
        <v>2690</v>
      </c>
      <c r="D382" t="s">
        <v>332</v>
      </c>
      <c r="E382" t="s">
        <v>11</v>
      </c>
      <c r="F382" t="s">
        <v>638</v>
      </c>
      <c r="G382" t="s">
        <v>625</v>
      </c>
      <c r="H382" s="4">
        <v>46007</v>
      </c>
      <c r="I382" s="40">
        <v>0.45971064814814816</v>
      </c>
      <c r="J382" t="s">
        <v>626</v>
      </c>
      <c r="L382" t="s">
        <v>1105</v>
      </c>
      <c r="M382" t="s">
        <v>697</v>
      </c>
      <c r="N382" t="s">
        <v>698</v>
      </c>
    </row>
    <row r="383" spans="1:14" x14ac:dyDescent="0.25">
      <c r="A383" t="s">
        <v>1146</v>
      </c>
      <c r="B383">
        <v>127927</v>
      </c>
      <c r="C383">
        <v>2624</v>
      </c>
      <c r="D383" t="s">
        <v>241</v>
      </c>
      <c r="E383" t="s">
        <v>11</v>
      </c>
      <c r="F383" t="s">
        <v>638</v>
      </c>
      <c r="G383" t="s">
        <v>625</v>
      </c>
      <c r="H383" s="4">
        <v>46011</v>
      </c>
      <c r="I383" s="40">
        <v>0.47062500000000002</v>
      </c>
      <c r="J383" t="s">
        <v>626</v>
      </c>
      <c r="L383" t="s">
        <v>1147</v>
      </c>
      <c r="M383" t="s">
        <v>697</v>
      </c>
      <c r="N383" t="s">
        <v>698</v>
      </c>
    </row>
    <row r="384" spans="1:14" x14ac:dyDescent="0.25">
      <c r="A384" t="s">
        <v>1148</v>
      </c>
      <c r="B384">
        <v>127927</v>
      </c>
      <c r="C384">
        <v>2624</v>
      </c>
      <c r="D384" t="s">
        <v>241</v>
      </c>
      <c r="E384" t="s">
        <v>11</v>
      </c>
      <c r="F384" t="s">
        <v>638</v>
      </c>
      <c r="G384" t="s">
        <v>625</v>
      </c>
      <c r="H384" s="4">
        <v>46011</v>
      </c>
      <c r="I384" s="40">
        <v>0.47100694444444446</v>
      </c>
      <c r="J384" t="s">
        <v>626</v>
      </c>
      <c r="L384" t="s">
        <v>1149</v>
      </c>
      <c r="M384" t="s">
        <v>697</v>
      </c>
      <c r="N384" t="s">
        <v>698</v>
      </c>
    </row>
    <row r="385" spans="1:14" x14ac:dyDescent="0.25">
      <c r="A385" t="s">
        <v>1161</v>
      </c>
      <c r="B385">
        <v>129449</v>
      </c>
      <c r="C385">
        <v>2624</v>
      </c>
      <c r="D385" t="s">
        <v>293</v>
      </c>
      <c r="E385" t="s">
        <v>11</v>
      </c>
      <c r="F385" t="s">
        <v>638</v>
      </c>
      <c r="G385" t="s">
        <v>625</v>
      </c>
      <c r="H385" s="4">
        <v>46011</v>
      </c>
      <c r="I385" s="40">
        <v>0.49053240740740739</v>
      </c>
      <c r="J385" t="s">
        <v>626</v>
      </c>
      <c r="L385" t="s">
        <v>1162</v>
      </c>
      <c r="M385" t="s">
        <v>697</v>
      </c>
      <c r="N385" t="s">
        <v>698</v>
      </c>
    </row>
    <row r="386" spans="1:14" x14ac:dyDescent="0.25">
      <c r="A386" t="s">
        <v>1163</v>
      </c>
      <c r="B386">
        <v>129449</v>
      </c>
      <c r="C386">
        <v>2624</v>
      </c>
      <c r="D386" t="s">
        <v>293</v>
      </c>
      <c r="E386" t="s">
        <v>11</v>
      </c>
      <c r="F386" t="s">
        <v>638</v>
      </c>
      <c r="G386" t="s">
        <v>625</v>
      </c>
      <c r="H386" s="4">
        <v>46011</v>
      </c>
      <c r="I386" s="40">
        <v>0.49084490740740738</v>
      </c>
      <c r="J386" t="s">
        <v>626</v>
      </c>
      <c r="L386" t="s">
        <v>1164</v>
      </c>
      <c r="M386" t="s">
        <v>697</v>
      </c>
      <c r="N386" t="s">
        <v>698</v>
      </c>
    </row>
    <row r="387" spans="1:14" x14ac:dyDescent="0.25">
      <c r="A387" t="s">
        <v>1174</v>
      </c>
      <c r="B387">
        <v>471107</v>
      </c>
      <c r="C387">
        <v>1741</v>
      </c>
      <c r="D387" t="s">
        <v>1166</v>
      </c>
      <c r="E387" t="s">
        <v>11</v>
      </c>
      <c r="F387" t="s">
        <v>638</v>
      </c>
      <c r="G387" t="s">
        <v>625</v>
      </c>
      <c r="H387" s="4">
        <v>46011</v>
      </c>
      <c r="I387" s="40">
        <v>0.51616898148148149</v>
      </c>
      <c r="J387" t="s">
        <v>626</v>
      </c>
      <c r="L387" t="s">
        <v>1175</v>
      </c>
      <c r="M387" t="s">
        <v>697</v>
      </c>
      <c r="N387" t="s">
        <v>698</v>
      </c>
    </row>
    <row r="388" spans="1:14" x14ac:dyDescent="0.25">
      <c r="A388" t="s">
        <v>1176</v>
      </c>
      <c r="B388">
        <v>471107</v>
      </c>
      <c r="C388">
        <v>1741</v>
      </c>
      <c r="D388" t="s">
        <v>1166</v>
      </c>
      <c r="E388" t="s">
        <v>11</v>
      </c>
      <c r="F388" t="s">
        <v>638</v>
      </c>
      <c r="G388" t="s">
        <v>625</v>
      </c>
      <c r="H388" s="4">
        <v>46011</v>
      </c>
      <c r="I388" s="40">
        <v>0.51636574074074071</v>
      </c>
      <c r="J388" t="s">
        <v>626</v>
      </c>
      <c r="L388" t="s">
        <v>1177</v>
      </c>
      <c r="M388" t="s">
        <v>697</v>
      </c>
      <c r="N388" t="s">
        <v>698</v>
      </c>
    </row>
    <row r="389" spans="1:14" x14ac:dyDescent="0.25">
      <c r="A389" t="s">
        <v>1523</v>
      </c>
      <c r="B389">
        <v>218434</v>
      </c>
      <c r="C389">
        <v>2533</v>
      </c>
      <c r="D389" t="s">
        <v>1507</v>
      </c>
      <c r="E389" t="s">
        <v>11</v>
      </c>
      <c r="F389" t="s">
        <v>638</v>
      </c>
      <c r="G389" t="s">
        <v>625</v>
      </c>
      <c r="H389" s="4">
        <v>46032</v>
      </c>
      <c r="I389" s="40">
        <v>0.39802083333333332</v>
      </c>
      <c r="J389" t="s">
        <v>626</v>
      </c>
      <c r="L389" t="s">
        <v>1524</v>
      </c>
      <c r="M389" t="s">
        <v>697</v>
      </c>
      <c r="N389" t="s">
        <v>698</v>
      </c>
    </row>
    <row r="390" spans="1:14" x14ac:dyDescent="0.25">
      <c r="A390" t="s">
        <v>1525</v>
      </c>
      <c r="B390">
        <v>218434</v>
      </c>
      <c r="C390">
        <v>2533</v>
      </c>
      <c r="D390" t="s">
        <v>1507</v>
      </c>
      <c r="E390" t="s">
        <v>11</v>
      </c>
      <c r="F390" t="s">
        <v>638</v>
      </c>
      <c r="G390" t="s">
        <v>625</v>
      </c>
      <c r="H390" s="4">
        <v>46032</v>
      </c>
      <c r="I390" s="40">
        <v>0.40690972222222221</v>
      </c>
      <c r="J390" t="s">
        <v>626</v>
      </c>
      <c r="L390" t="s">
        <v>1526</v>
      </c>
      <c r="M390" t="s">
        <v>697</v>
      </c>
      <c r="N390" t="s">
        <v>698</v>
      </c>
    </row>
    <row r="391" spans="1:14" x14ac:dyDescent="0.25">
      <c r="A391" t="s">
        <v>1531</v>
      </c>
      <c r="B391">
        <v>218434</v>
      </c>
      <c r="C391">
        <v>2533</v>
      </c>
      <c r="D391" t="s">
        <v>1507</v>
      </c>
      <c r="E391" t="s">
        <v>11</v>
      </c>
      <c r="F391" t="s">
        <v>638</v>
      </c>
      <c r="G391" t="s">
        <v>625</v>
      </c>
      <c r="H391" s="4">
        <v>46032</v>
      </c>
      <c r="I391" s="40">
        <v>0.42614583333333333</v>
      </c>
      <c r="J391" t="s">
        <v>626</v>
      </c>
      <c r="L391" t="s">
        <v>1524</v>
      </c>
      <c r="M391" t="s">
        <v>697</v>
      </c>
      <c r="N391" t="s">
        <v>698</v>
      </c>
    </row>
  </sheetData>
  <sheetProtection algorithmName="SHA-512" hashValue="71KHRED6ZXhjHVg/U53P2aYmbSlPXOoh9YFzT3aHs8Er+W2b3qm81HZtxTUuJ4nAAzrn0ef9x90fdVXvECkFow==" saltValue="TnA9MfxBLU1T1P06A3DR8A==" spinCount="100000" sheet="1" objects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7"/>
  <sheetViews>
    <sheetView workbookViewId="0">
      <selection activeCell="B14" sqref="B14"/>
    </sheetView>
  </sheetViews>
  <sheetFormatPr defaultRowHeight="15" x14ac:dyDescent="0.25"/>
  <cols>
    <col min="1" max="1" width="18" customWidth="1"/>
    <col min="2" max="2" width="35" customWidth="1"/>
    <col min="3" max="4" width="25" customWidth="1"/>
  </cols>
  <sheetData>
    <row r="1" spans="1:4" x14ac:dyDescent="0.25">
      <c r="A1" t="s">
        <v>37</v>
      </c>
      <c r="B1" s="4">
        <f ca="1">TODAY()</f>
        <v>46032</v>
      </c>
    </row>
    <row r="2" spans="1:4" x14ac:dyDescent="0.25">
      <c r="A2" t="s">
        <v>38</v>
      </c>
      <c r="B2" s="5" t="s">
        <v>39</v>
      </c>
    </row>
    <row r="3" spans="1:4" ht="15.75" x14ac:dyDescent="0.25">
      <c r="A3" t="s">
        <v>40</v>
      </c>
      <c r="B3" s="6">
        <v>218434</v>
      </c>
    </row>
    <row r="4" spans="1:4" x14ac:dyDescent="0.25">
      <c r="A4" t="s">
        <v>41</v>
      </c>
      <c r="B4" t="s">
        <v>1507</v>
      </c>
    </row>
    <row r="5" spans="1:4" x14ac:dyDescent="0.25">
      <c r="A5" t="s">
        <v>42</v>
      </c>
      <c r="B5">
        <v>2533</v>
      </c>
    </row>
    <row r="6" spans="1:4" x14ac:dyDescent="0.25">
      <c r="A6" t="s">
        <v>42</v>
      </c>
      <c r="B6">
        <f>B5</f>
        <v>2533</v>
      </c>
      <c r="C6" t="str">
        <f>B6&amp;"-869900-784-590"</f>
        <v>2533-869900-784-590</v>
      </c>
      <c r="D6" t="str">
        <f>B5&amp;"-860185-784-090"</f>
        <v>2533-860185-784-090</v>
      </c>
    </row>
    <row r="7" spans="1:4" x14ac:dyDescent="0.25">
      <c r="A7" s="7" t="s">
        <v>1530</v>
      </c>
      <c r="B7" t="s">
        <v>1507</v>
      </c>
    </row>
    <row r="8" spans="1:4" ht="15.75" x14ac:dyDescent="0.25">
      <c r="A8" t="s">
        <v>43</v>
      </c>
      <c r="B8" s="6">
        <v>784420</v>
      </c>
    </row>
    <row r="9" spans="1:4" ht="15.75" x14ac:dyDescent="0.25">
      <c r="A9" t="s">
        <v>44</v>
      </c>
      <c r="B9" s="6">
        <v>18000</v>
      </c>
    </row>
    <row r="10" spans="1:4" ht="15.75" x14ac:dyDescent="0.25">
      <c r="A10" t="s">
        <v>45</v>
      </c>
      <c r="B10" s="6" t="s">
        <v>1518</v>
      </c>
    </row>
    <row r="11" spans="1:4" ht="15.75" x14ac:dyDescent="0.25">
      <c r="A11" t="s">
        <v>46</v>
      </c>
      <c r="B11" s="8" t="s">
        <v>47</v>
      </c>
    </row>
    <row r="13" spans="1:4" x14ac:dyDescent="0.25">
      <c r="A13" t="s">
        <v>48</v>
      </c>
      <c r="B13" t="s">
        <v>49</v>
      </c>
      <c r="C13" t="s">
        <v>50</v>
      </c>
    </row>
    <row r="14" spans="1:4" x14ac:dyDescent="0.25">
      <c r="B14" t="str">
        <f>B3&amp;" _ "&amp;B10</f>
        <v>218434 _ PIM-1260109000001</v>
      </c>
      <c r="C14">
        <f>B9</f>
        <v>18000</v>
      </c>
    </row>
    <row r="17" spans="2:2" x14ac:dyDescent="0.25">
      <c r="B17" t="str">
        <f>"CHQ NO "&amp;B8&amp;"_"&amp;A7&amp;": "&amp;B7</f>
        <v>CHQ NO 784420_Borrower Name: ABDUL RAHIM SHER AMAN SHER AMAN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F52"/>
  <sheetViews>
    <sheetView showGridLines="0" workbookViewId="0">
      <selection activeCell="D46" sqref="D46:D47"/>
    </sheetView>
  </sheetViews>
  <sheetFormatPr defaultColWidth="8.7109375" defaultRowHeight="15" x14ac:dyDescent="0.25"/>
  <cols>
    <col min="1" max="1" width="9.85546875" style="25" customWidth="1"/>
    <col min="2" max="2" width="8" style="25" customWidth="1"/>
    <col min="3" max="3" width="12" style="25" customWidth="1"/>
    <col min="4" max="4" width="35.7109375" style="25" customWidth="1"/>
    <col min="5" max="5" width="7.28515625" style="25" customWidth="1"/>
    <col min="6" max="6" width="21" style="25" customWidth="1"/>
    <col min="7" max="16384" width="8.7109375" style="25"/>
  </cols>
  <sheetData>
    <row r="2" spans="1:6" ht="15.75" thickBot="1" x14ac:dyDescent="0.3"/>
    <row r="3" spans="1:6" ht="15" customHeight="1" x14ac:dyDescent="0.25">
      <c r="A3" s="26"/>
      <c r="B3" s="27"/>
      <c r="C3" s="27"/>
      <c r="D3" s="27"/>
      <c r="E3" s="27"/>
      <c r="F3" s="28"/>
    </row>
    <row r="4" spans="1:6" ht="15" customHeight="1" x14ac:dyDescent="0.25">
      <c r="A4" s="29"/>
      <c r="B4" s="9"/>
      <c r="C4" s="9"/>
      <c r="D4" s="9"/>
      <c r="E4" s="9"/>
      <c r="F4" s="30"/>
    </row>
    <row r="5" spans="1:6" ht="15" customHeight="1" x14ac:dyDescent="0.25">
      <c r="A5" s="29"/>
      <c r="B5" s="9"/>
      <c r="C5" s="9"/>
      <c r="D5" s="9"/>
      <c r="E5" s="9"/>
      <c r="F5" s="30"/>
    </row>
    <row r="6" spans="1:6" ht="15" customHeight="1" x14ac:dyDescent="0.25">
      <c r="A6" s="29"/>
      <c r="B6" s="9"/>
      <c r="C6" s="9"/>
      <c r="D6" s="9"/>
      <c r="E6" s="73"/>
      <c r="F6" s="74"/>
    </row>
    <row r="7" spans="1:6" ht="15" customHeight="1" x14ac:dyDescent="0.25">
      <c r="A7" s="29"/>
      <c r="B7" s="9"/>
      <c r="C7" s="9"/>
      <c r="D7" s="9"/>
      <c r="E7" s="73"/>
      <c r="F7" s="74"/>
    </row>
    <row r="8" spans="1:6" ht="15" customHeight="1" x14ac:dyDescent="0.25">
      <c r="A8" s="75"/>
      <c r="B8" s="76"/>
      <c r="C8" s="76"/>
      <c r="D8" s="76"/>
      <c r="E8" s="76"/>
      <c r="F8" s="77"/>
    </row>
    <row r="9" spans="1:6" ht="15" customHeight="1" x14ac:dyDescent="0.25">
      <c r="A9" s="75"/>
      <c r="B9" s="76"/>
      <c r="C9" s="76"/>
      <c r="D9" s="76"/>
      <c r="E9" s="76"/>
      <c r="F9" s="77"/>
    </row>
    <row r="10" spans="1:6" ht="29.25" x14ac:dyDescent="0.25">
      <c r="A10" s="31"/>
      <c r="B10" s="32"/>
      <c r="C10" s="32"/>
      <c r="D10" s="32"/>
      <c r="E10" s="33" t="s">
        <v>51</v>
      </c>
      <c r="F10" s="34">
        <f ca="1">Securities!B1</f>
        <v>46032</v>
      </c>
    </row>
    <row r="11" spans="1:6" ht="15" customHeight="1" x14ac:dyDescent="0.25">
      <c r="A11" s="31"/>
      <c r="B11" s="32"/>
      <c r="C11" s="32"/>
      <c r="D11" s="32"/>
      <c r="E11" s="32"/>
      <c r="F11" s="35"/>
    </row>
    <row r="12" spans="1:6" ht="15" customHeight="1" x14ac:dyDescent="0.25">
      <c r="A12" s="31"/>
      <c r="B12" s="32"/>
      <c r="C12" s="32"/>
      <c r="D12" s="32"/>
      <c r="E12" s="32"/>
      <c r="F12" s="35"/>
    </row>
    <row r="13" spans="1:6" ht="15" customHeight="1" x14ac:dyDescent="0.25">
      <c r="A13" s="78" t="s">
        <v>52</v>
      </c>
      <c r="B13" s="79"/>
      <c r="C13" s="80" t="str">
        <f>Securities!D6</f>
        <v>2533-860185-784-090</v>
      </c>
      <c r="D13" s="80"/>
      <c r="E13" s="81" t="str">
        <f>Securities!B11&amp;" "&amp;TEXT(Securities!B9,"#,##0.00")</f>
        <v>AED 18,000.00</v>
      </c>
      <c r="F13" s="82"/>
    </row>
    <row r="14" spans="1:6" ht="15" customHeight="1" x14ac:dyDescent="0.25">
      <c r="A14" s="78"/>
      <c r="B14" s="79"/>
      <c r="C14" s="80"/>
      <c r="D14" s="80"/>
      <c r="E14" s="81"/>
      <c r="F14" s="82"/>
    </row>
    <row r="15" spans="1:6" ht="15.75" thickBot="1" x14ac:dyDescent="0.3">
      <c r="A15" s="31"/>
      <c r="B15" s="32"/>
      <c r="C15" s="32"/>
      <c r="D15" s="32"/>
      <c r="E15" s="32"/>
      <c r="F15" s="35"/>
    </row>
    <row r="16" spans="1:6" ht="15" customHeight="1" x14ac:dyDescent="0.25">
      <c r="A16" s="29"/>
      <c r="B16" s="59" t="s">
        <v>53</v>
      </c>
      <c r="C16" s="60"/>
      <c r="D16" s="65" t="str">
        <f>Securities!B14</f>
        <v>218434 _ PIM-1260109000001</v>
      </c>
      <c r="E16" s="9"/>
      <c r="F16" s="30"/>
    </row>
    <row r="17" spans="1:6" ht="15" customHeight="1" x14ac:dyDescent="0.25">
      <c r="A17" s="29"/>
      <c r="B17" s="61"/>
      <c r="C17" s="62"/>
      <c r="D17" s="66"/>
      <c r="E17" s="9"/>
      <c r="F17" s="30"/>
    </row>
    <row r="18" spans="1:6" ht="15" customHeight="1" x14ac:dyDescent="0.25">
      <c r="A18" s="29"/>
      <c r="B18" s="61"/>
      <c r="C18" s="62"/>
      <c r="D18" s="67" t="str">
        <f>Securities!B17</f>
        <v>CHQ NO 784420_Borrower Name: ABDUL RAHIM SHER AMAN SHER AMAN</v>
      </c>
      <c r="E18" s="9"/>
      <c r="F18" s="30"/>
    </row>
    <row r="19" spans="1:6" ht="15.75" thickBot="1" x14ac:dyDescent="0.3">
      <c r="A19" s="29"/>
      <c r="B19" s="63"/>
      <c r="C19" s="64"/>
      <c r="D19" s="68"/>
      <c r="E19" s="9"/>
      <c r="F19" s="30"/>
    </row>
    <row r="20" spans="1:6" ht="15.75" thickBot="1" x14ac:dyDescent="0.3">
      <c r="A20" s="29"/>
      <c r="B20" s="69"/>
      <c r="C20" s="70"/>
      <c r="D20" s="36" t="str">
        <f>Securities!B4</f>
        <v>ABDUL RAHIM SHER AMAN SHER AMAN</v>
      </c>
      <c r="E20" s="9"/>
      <c r="F20" s="30"/>
    </row>
    <row r="21" spans="1:6" ht="15" customHeight="1" x14ac:dyDescent="0.25">
      <c r="A21" s="29"/>
      <c r="B21" s="9"/>
      <c r="C21" s="9"/>
      <c r="D21" s="9"/>
      <c r="E21" s="9"/>
      <c r="F21" s="30"/>
    </row>
    <row r="22" spans="1:6" ht="15" customHeight="1" x14ac:dyDescent="0.25">
      <c r="A22" s="29"/>
      <c r="B22" s="9"/>
      <c r="C22" s="9"/>
      <c r="D22" s="9"/>
      <c r="E22" s="9"/>
      <c r="F22" s="30"/>
    </row>
    <row r="23" spans="1:6" ht="15.75" thickBot="1" x14ac:dyDescent="0.3">
      <c r="A23" s="71"/>
      <c r="B23" s="72"/>
      <c r="C23" s="72"/>
      <c r="D23" s="9"/>
      <c r="E23" s="37"/>
      <c r="F23" s="38"/>
    </row>
    <row r="24" spans="1:6" ht="15.75" thickBot="1" x14ac:dyDescent="0.3">
      <c r="A24" s="56" t="s">
        <v>54</v>
      </c>
      <c r="B24" s="57"/>
      <c r="C24" s="57"/>
      <c r="D24" s="39"/>
      <c r="E24" s="57" t="s">
        <v>55</v>
      </c>
      <c r="F24" s="58"/>
    </row>
    <row r="25" spans="1:6" ht="15" customHeight="1" x14ac:dyDescent="0.25">
      <c r="A25" s="32"/>
      <c r="B25" s="32"/>
      <c r="C25" s="32"/>
      <c r="D25" s="32"/>
      <c r="E25" s="32"/>
      <c r="F25" s="32"/>
    </row>
    <row r="26" spans="1:6" x14ac:dyDescent="0.25">
      <c r="A26" s="32"/>
      <c r="B26" s="32"/>
      <c r="C26" s="32"/>
      <c r="D26" s="32"/>
      <c r="E26" s="32"/>
      <c r="F26" s="32"/>
    </row>
    <row r="27" spans="1:6" x14ac:dyDescent="0.25">
      <c r="A27" s="32"/>
      <c r="B27" s="32"/>
      <c r="C27" s="32"/>
      <c r="D27" s="32"/>
      <c r="E27" s="32"/>
      <c r="F27" s="32"/>
    </row>
    <row r="28" spans="1:6" ht="15" hidden="1" customHeight="1" x14ac:dyDescent="0.25">
      <c r="A28" s="32"/>
      <c r="B28" s="32"/>
      <c r="C28" s="32"/>
      <c r="D28" s="32"/>
      <c r="E28" s="32"/>
      <c r="F28" s="32"/>
    </row>
    <row r="29" spans="1:6" x14ac:dyDescent="0.25">
      <c r="A29" s="32"/>
      <c r="B29" s="32"/>
      <c r="C29" s="32"/>
      <c r="D29" s="32"/>
      <c r="E29" s="32"/>
      <c r="F29" s="32"/>
    </row>
    <row r="30" spans="1:6" ht="15.75" thickBot="1" x14ac:dyDescent="0.3">
      <c r="A30" s="32"/>
      <c r="B30" s="32"/>
      <c r="C30" s="32"/>
      <c r="D30" s="32"/>
      <c r="E30" s="32"/>
      <c r="F30" s="32"/>
    </row>
    <row r="31" spans="1:6" ht="15" customHeight="1" x14ac:dyDescent="0.25">
      <c r="A31" s="26"/>
      <c r="B31" s="27"/>
      <c r="C31" s="27"/>
      <c r="D31" s="27"/>
      <c r="E31" s="27"/>
      <c r="F31" s="28"/>
    </row>
    <row r="32" spans="1:6" ht="15" customHeight="1" x14ac:dyDescent="0.25">
      <c r="A32" s="29"/>
      <c r="B32" s="9"/>
      <c r="C32" s="9"/>
      <c r="D32" s="9"/>
      <c r="E32" s="9"/>
      <c r="F32" s="30"/>
    </row>
    <row r="33" spans="1:6" ht="15" customHeight="1" x14ac:dyDescent="0.25">
      <c r="A33" s="29"/>
      <c r="B33" s="9"/>
      <c r="C33" s="9"/>
      <c r="D33" s="9"/>
      <c r="E33" s="9"/>
      <c r="F33" s="30"/>
    </row>
    <row r="34" spans="1:6" ht="15" customHeight="1" x14ac:dyDescent="0.25">
      <c r="A34" s="29"/>
      <c r="B34" s="9"/>
      <c r="C34" s="9"/>
      <c r="D34" s="9"/>
      <c r="E34" s="73"/>
      <c r="F34" s="74"/>
    </row>
    <row r="35" spans="1:6" ht="15" customHeight="1" x14ac:dyDescent="0.25">
      <c r="A35" s="29"/>
      <c r="B35" s="9"/>
      <c r="C35" s="9"/>
      <c r="D35" s="9"/>
      <c r="E35" s="73"/>
      <c r="F35" s="74"/>
    </row>
    <row r="36" spans="1:6" ht="15" customHeight="1" x14ac:dyDescent="0.25">
      <c r="A36" s="75"/>
      <c r="B36" s="76"/>
      <c r="C36" s="76"/>
      <c r="D36" s="76"/>
      <c r="E36" s="76"/>
      <c r="F36" s="77"/>
    </row>
    <row r="37" spans="1:6" ht="15" customHeight="1" x14ac:dyDescent="0.25">
      <c r="A37" s="75"/>
      <c r="B37" s="76"/>
      <c r="C37" s="76"/>
      <c r="D37" s="76"/>
      <c r="E37" s="76"/>
      <c r="F37" s="77"/>
    </row>
    <row r="38" spans="1:6" ht="29.25" x14ac:dyDescent="0.25">
      <c r="A38" s="31"/>
      <c r="B38" s="32"/>
      <c r="C38" s="32"/>
      <c r="D38" s="32"/>
      <c r="E38" s="33" t="s">
        <v>51</v>
      </c>
      <c r="F38" s="34">
        <f ca="1">Securities!B1</f>
        <v>46032</v>
      </c>
    </row>
    <row r="39" spans="1:6" ht="15" customHeight="1" x14ac:dyDescent="0.25">
      <c r="A39" s="31"/>
      <c r="B39" s="32"/>
      <c r="C39" s="32"/>
      <c r="D39" s="32"/>
      <c r="E39" s="32"/>
      <c r="F39" s="35"/>
    </row>
    <row r="40" spans="1:6" ht="15" customHeight="1" x14ac:dyDescent="0.25">
      <c r="A40" s="31"/>
      <c r="B40" s="32"/>
      <c r="C40" s="32"/>
      <c r="D40" s="32"/>
      <c r="E40" s="32"/>
      <c r="F40" s="35"/>
    </row>
    <row r="41" spans="1:6" ht="15" customHeight="1" x14ac:dyDescent="0.25">
      <c r="A41" s="78" t="s">
        <v>52</v>
      </c>
      <c r="B41" s="79"/>
      <c r="C41" s="80" t="str">
        <f>Securities!C6</f>
        <v>2533-869900-784-590</v>
      </c>
      <c r="D41" s="80"/>
      <c r="E41" s="81" t="str">
        <f>Securities!B11&amp;" "&amp;TEXT(Securities!B9,"#,##0.00")</f>
        <v>AED 18,000.00</v>
      </c>
      <c r="F41" s="82"/>
    </row>
    <row r="42" spans="1:6" ht="15" customHeight="1" x14ac:dyDescent="0.25">
      <c r="A42" s="78"/>
      <c r="B42" s="79"/>
      <c r="C42" s="80"/>
      <c r="D42" s="80"/>
      <c r="E42" s="81"/>
      <c r="F42" s="82"/>
    </row>
    <row r="43" spans="1:6" ht="15.75" thickBot="1" x14ac:dyDescent="0.3">
      <c r="A43" s="31"/>
      <c r="B43" s="32"/>
      <c r="C43" s="32"/>
      <c r="D43" s="32"/>
      <c r="E43" s="32"/>
      <c r="F43" s="35"/>
    </row>
    <row r="44" spans="1:6" ht="15" customHeight="1" x14ac:dyDescent="0.25">
      <c r="A44" s="29"/>
      <c r="B44" s="59" t="s">
        <v>53</v>
      </c>
      <c r="C44" s="60"/>
      <c r="D44" s="65" t="str">
        <f>Securities!B14</f>
        <v>218434 _ PIM-1260109000001</v>
      </c>
      <c r="E44" s="9"/>
      <c r="F44" s="30"/>
    </row>
    <row r="45" spans="1:6" ht="15" customHeight="1" x14ac:dyDescent="0.25">
      <c r="A45" s="29"/>
      <c r="B45" s="61"/>
      <c r="C45" s="62"/>
      <c r="D45" s="66"/>
      <c r="E45" s="9"/>
      <c r="F45" s="30"/>
    </row>
    <row r="46" spans="1:6" ht="15" customHeight="1" x14ac:dyDescent="0.25">
      <c r="A46" s="29"/>
      <c r="B46" s="61"/>
      <c r="C46" s="62"/>
      <c r="D46" s="67" t="str">
        <f>Securities!B17</f>
        <v>CHQ NO 784420_Borrower Name: ABDUL RAHIM SHER AMAN SHER AMAN</v>
      </c>
      <c r="E46" s="9"/>
      <c r="F46" s="30"/>
    </row>
    <row r="47" spans="1:6" ht="15.75" thickBot="1" x14ac:dyDescent="0.3">
      <c r="A47" s="29"/>
      <c r="B47" s="63"/>
      <c r="C47" s="64"/>
      <c r="D47" s="68"/>
      <c r="E47" s="9"/>
      <c r="F47" s="30"/>
    </row>
    <row r="48" spans="1:6" ht="15.75" thickBot="1" x14ac:dyDescent="0.3">
      <c r="A48" s="29"/>
      <c r="B48" s="69"/>
      <c r="C48" s="70"/>
      <c r="D48" s="36" t="str">
        <f>Securities!B4</f>
        <v>ABDUL RAHIM SHER AMAN SHER AMAN</v>
      </c>
      <c r="E48" s="9"/>
      <c r="F48" s="30"/>
    </row>
    <row r="49" spans="1:6" ht="15" customHeight="1" x14ac:dyDescent="0.25">
      <c r="A49" s="29"/>
      <c r="B49" s="9"/>
      <c r="C49" s="9"/>
      <c r="D49" s="9"/>
      <c r="E49" s="9"/>
      <c r="F49" s="30"/>
    </row>
    <row r="50" spans="1:6" ht="15" customHeight="1" x14ac:dyDescent="0.25">
      <c r="A50" s="29"/>
      <c r="B50" s="9"/>
      <c r="C50" s="9"/>
      <c r="D50" s="9"/>
      <c r="E50" s="9"/>
      <c r="F50" s="30"/>
    </row>
    <row r="51" spans="1:6" ht="15.75" thickBot="1" x14ac:dyDescent="0.3">
      <c r="A51" s="71"/>
      <c r="B51" s="72"/>
      <c r="C51" s="72"/>
      <c r="D51" s="9"/>
      <c r="E51" s="37"/>
      <c r="F51" s="38"/>
    </row>
    <row r="52" spans="1:6" ht="15.75" thickBot="1" x14ac:dyDescent="0.3">
      <c r="A52" s="56" t="s">
        <v>54</v>
      </c>
      <c r="B52" s="57"/>
      <c r="C52" s="57"/>
      <c r="D52" s="39"/>
      <c r="E52" s="57" t="s">
        <v>55</v>
      </c>
      <c r="F52" s="58"/>
    </row>
  </sheetData>
  <mergeCells count="24">
    <mergeCell ref="A24:C24"/>
    <mergeCell ref="E24:F24"/>
    <mergeCell ref="B16:C19"/>
    <mergeCell ref="D16:D17"/>
    <mergeCell ref="D18:D19"/>
    <mergeCell ref="B20:C20"/>
    <mergeCell ref="A23:C23"/>
    <mergeCell ref="E6:F7"/>
    <mergeCell ref="A8:F9"/>
    <mergeCell ref="A13:B14"/>
    <mergeCell ref="C13:D14"/>
    <mergeCell ref="E13:F14"/>
    <mergeCell ref="E34:F35"/>
    <mergeCell ref="A36:F37"/>
    <mergeCell ref="A41:B42"/>
    <mergeCell ref="C41:D42"/>
    <mergeCell ref="E41:F42"/>
    <mergeCell ref="A52:C52"/>
    <mergeCell ref="E52:F52"/>
    <mergeCell ref="B44:C47"/>
    <mergeCell ref="D44:D45"/>
    <mergeCell ref="D46:D47"/>
    <mergeCell ref="B48:C48"/>
    <mergeCell ref="A51:C51"/>
  </mergeCells>
  <pageMargins left="0" right="0" top="0" bottom="0.74803149606299213" header="0" footer="0"/>
  <pageSetup paperSize="7" scale="8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6"/>
  <sheetViews>
    <sheetView workbookViewId="0">
      <selection activeCell="N16" sqref="N16"/>
    </sheetView>
  </sheetViews>
  <sheetFormatPr defaultRowHeight="15" x14ac:dyDescent="0.25"/>
  <sheetData>
    <row r="1" spans="1:2" ht="21" x14ac:dyDescent="0.35">
      <c r="A1" s="1" t="s">
        <v>56</v>
      </c>
    </row>
    <row r="3" spans="1:2" x14ac:dyDescent="0.25">
      <c r="A3" t="s">
        <v>1</v>
      </c>
      <c r="B3" t="s">
        <v>2</v>
      </c>
    </row>
    <row r="4" spans="1:2" x14ac:dyDescent="0.25">
      <c r="A4" t="s">
        <v>57</v>
      </c>
      <c r="B4" t="s">
        <v>58</v>
      </c>
    </row>
    <row r="6" spans="1:2" x14ac:dyDescent="0.25">
      <c r="A6" t="s">
        <v>59</v>
      </c>
      <c r="B6" t="s">
        <v>60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ADD70-4E09-4CE8-8081-D93E91B756FE}">
  <sheetPr codeName="Sheet8"/>
  <dimension ref="A1:P23"/>
  <sheetViews>
    <sheetView topLeftCell="C1" workbookViewId="0">
      <selection activeCell="K19" sqref="K19"/>
    </sheetView>
  </sheetViews>
  <sheetFormatPr defaultRowHeight="15" x14ac:dyDescent="0.25"/>
  <cols>
    <col min="1" max="1" width="15.5703125" customWidth="1"/>
    <col min="2" max="2" width="13.140625" customWidth="1"/>
    <col min="5" max="5" width="14.7109375" customWidth="1"/>
    <col min="6" max="6" width="15" customWidth="1"/>
    <col min="8" max="8" width="14.85546875" customWidth="1"/>
    <col min="9" max="9" width="15" customWidth="1"/>
    <col min="11" max="11" width="16.42578125" customWidth="1"/>
    <col min="13" max="13" width="20.5703125" customWidth="1"/>
    <col min="14" max="14" width="11.28515625" customWidth="1"/>
    <col min="15" max="15" width="12.5703125" customWidth="1"/>
  </cols>
  <sheetData>
    <row r="1" spans="1:16" x14ac:dyDescent="0.25">
      <c r="A1" s="41" t="s">
        <v>679</v>
      </c>
      <c r="B1" s="41" t="s">
        <v>680</v>
      </c>
      <c r="C1" s="41" t="s">
        <v>8</v>
      </c>
      <c r="D1" s="41" t="s">
        <v>681</v>
      </c>
      <c r="E1" s="41" t="s">
        <v>682</v>
      </c>
      <c r="F1" s="41" t="s">
        <v>683</v>
      </c>
      <c r="G1" s="41" t="s">
        <v>684</v>
      </c>
      <c r="H1" s="41" t="s">
        <v>685</v>
      </c>
      <c r="I1" s="41" t="s">
        <v>686</v>
      </c>
      <c r="J1" s="41" t="s">
        <v>687</v>
      </c>
      <c r="L1" s="41" t="s">
        <v>688</v>
      </c>
      <c r="M1" s="41" t="s">
        <v>689</v>
      </c>
      <c r="N1" s="41" t="s">
        <v>690</v>
      </c>
      <c r="O1" s="41" t="s">
        <v>31</v>
      </c>
    </row>
    <row r="2" spans="1:16" x14ac:dyDescent="0.25">
      <c r="A2" t="s">
        <v>704</v>
      </c>
      <c r="B2">
        <v>452861</v>
      </c>
      <c r="C2">
        <v>1741</v>
      </c>
      <c r="D2" t="s">
        <v>620</v>
      </c>
      <c r="E2" t="s">
        <v>620</v>
      </c>
      <c r="F2">
        <v>452861</v>
      </c>
      <c r="G2">
        <v>137852</v>
      </c>
      <c r="H2">
        <v>60000</v>
      </c>
      <c r="I2" t="s">
        <v>691</v>
      </c>
      <c r="J2" t="s">
        <v>692</v>
      </c>
      <c r="K2" t="s">
        <v>703</v>
      </c>
      <c r="L2">
        <v>192</v>
      </c>
      <c r="M2" s="42">
        <v>2025</v>
      </c>
      <c r="N2" s="42">
        <v>46002.549930555557</v>
      </c>
      <c r="O2" t="s">
        <v>626</v>
      </c>
      <c r="P2" t="s">
        <v>705</v>
      </c>
    </row>
    <row r="3" spans="1:16" x14ac:dyDescent="0.25">
      <c r="A3" t="s">
        <v>706</v>
      </c>
      <c r="B3">
        <v>452861</v>
      </c>
      <c r="C3">
        <v>1741</v>
      </c>
      <c r="D3" t="s">
        <v>620</v>
      </c>
      <c r="E3" t="s">
        <v>693</v>
      </c>
      <c r="F3">
        <v>452965</v>
      </c>
      <c r="G3">
        <v>137905</v>
      </c>
      <c r="H3">
        <v>60000</v>
      </c>
      <c r="I3" t="s">
        <v>691</v>
      </c>
      <c r="J3" t="s">
        <v>692</v>
      </c>
      <c r="K3" t="s">
        <v>703</v>
      </c>
      <c r="L3">
        <v>192</v>
      </c>
      <c r="M3" s="42">
        <v>2025</v>
      </c>
      <c r="N3" s="42">
        <v>46002.549930555557</v>
      </c>
      <c r="O3" t="s">
        <v>626</v>
      </c>
      <c r="P3" t="s">
        <v>707</v>
      </c>
    </row>
    <row r="4" spans="1:16" x14ac:dyDescent="0.25">
      <c r="A4" t="s">
        <v>708</v>
      </c>
      <c r="B4">
        <v>452861</v>
      </c>
      <c r="C4">
        <v>1741</v>
      </c>
      <c r="D4" t="s">
        <v>620</v>
      </c>
      <c r="E4" t="s">
        <v>694</v>
      </c>
      <c r="F4">
        <v>475479</v>
      </c>
      <c r="G4">
        <v>137853</v>
      </c>
      <c r="H4">
        <v>60000</v>
      </c>
      <c r="I4" t="s">
        <v>691</v>
      </c>
      <c r="J4" t="s">
        <v>692</v>
      </c>
      <c r="K4" t="s">
        <v>703</v>
      </c>
      <c r="L4">
        <v>192</v>
      </c>
      <c r="M4" s="42">
        <v>2025</v>
      </c>
      <c r="N4" s="42">
        <v>46002.549942129626</v>
      </c>
      <c r="O4" t="s">
        <v>626</v>
      </c>
      <c r="P4" t="s">
        <v>707</v>
      </c>
    </row>
    <row r="5" spans="1:16" x14ac:dyDescent="0.25">
      <c r="A5" t="s">
        <v>723</v>
      </c>
      <c r="B5">
        <v>452366</v>
      </c>
      <c r="C5">
        <v>1741</v>
      </c>
      <c r="D5" t="s">
        <v>69</v>
      </c>
      <c r="E5" t="s">
        <v>69</v>
      </c>
      <c r="F5">
        <v>452366</v>
      </c>
      <c r="G5">
        <v>126881</v>
      </c>
      <c r="H5">
        <v>120000</v>
      </c>
      <c r="I5" t="s">
        <v>691</v>
      </c>
      <c r="J5" t="s">
        <v>692</v>
      </c>
      <c r="K5" t="s">
        <v>724</v>
      </c>
      <c r="L5">
        <v>71</v>
      </c>
      <c r="M5">
        <v>2025</v>
      </c>
      <c r="N5" s="42">
        <v>46002.56417824074</v>
      </c>
      <c r="O5" t="s">
        <v>626</v>
      </c>
      <c r="P5" t="s">
        <v>705</v>
      </c>
    </row>
    <row r="6" spans="1:16" x14ac:dyDescent="0.25">
      <c r="A6" t="s">
        <v>725</v>
      </c>
      <c r="B6">
        <v>452366</v>
      </c>
      <c r="C6">
        <v>1741</v>
      </c>
      <c r="D6" t="s">
        <v>69</v>
      </c>
      <c r="E6" t="s">
        <v>726</v>
      </c>
      <c r="F6">
        <v>451555</v>
      </c>
      <c r="G6">
        <v>134204</v>
      </c>
      <c r="H6">
        <v>120000</v>
      </c>
      <c r="I6" t="s">
        <v>691</v>
      </c>
      <c r="J6" t="s">
        <v>692</v>
      </c>
      <c r="K6" t="s">
        <v>724</v>
      </c>
      <c r="L6">
        <v>71</v>
      </c>
      <c r="M6">
        <v>2025</v>
      </c>
      <c r="N6" s="42">
        <v>46002.564189814817</v>
      </c>
      <c r="O6" t="s">
        <v>626</v>
      </c>
      <c r="P6" t="s">
        <v>707</v>
      </c>
    </row>
    <row r="7" spans="1:16" x14ac:dyDescent="0.25">
      <c r="A7" t="s">
        <v>727</v>
      </c>
      <c r="B7">
        <v>452366</v>
      </c>
      <c r="C7">
        <v>1741</v>
      </c>
      <c r="D7" t="s">
        <v>69</v>
      </c>
      <c r="E7" t="s">
        <v>728</v>
      </c>
      <c r="F7">
        <v>301408</v>
      </c>
      <c r="G7" t="s">
        <v>692</v>
      </c>
      <c r="H7" t="s">
        <v>692</v>
      </c>
      <c r="I7" t="s">
        <v>692</v>
      </c>
      <c r="J7" t="s">
        <v>692</v>
      </c>
      <c r="K7" t="s">
        <v>724</v>
      </c>
      <c r="L7">
        <v>71</v>
      </c>
      <c r="M7">
        <v>2025</v>
      </c>
      <c r="N7" s="42">
        <v>46002.564201388886</v>
      </c>
      <c r="O7" t="s">
        <v>626</v>
      </c>
      <c r="P7" t="s">
        <v>707</v>
      </c>
    </row>
    <row r="8" spans="1:16" x14ac:dyDescent="0.25">
      <c r="A8" t="s">
        <v>1010</v>
      </c>
      <c r="B8">
        <v>115295</v>
      </c>
      <c r="C8">
        <v>2624</v>
      </c>
      <c r="D8" t="s">
        <v>188</v>
      </c>
      <c r="E8" t="s">
        <v>188</v>
      </c>
      <c r="F8">
        <v>115295</v>
      </c>
      <c r="G8">
        <v>341120</v>
      </c>
      <c r="H8" t="s">
        <v>1011</v>
      </c>
      <c r="I8" t="s">
        <v>691</v>
      </c>
      <c r="L8">
        <v>71</v>
      </c>
      <c r="M8">
        <v>2025</v>
      </c>
      <c r="N8" s="42">
        <v>46006.500173611108</v>
      </c>
      <c r="O8" t="s">
        <v>626</v>
      </c>
      <c r="P8" t="s">
        <v>705</v>
      </c>
    </row>
    <row r="9" spans="1:16" x14ac:dyDescent="0.25">
      <c r="A9" t="s">
        <v>1012</v>
      </c>
      <c r="B9">
        <v>115295</v>
      </c>
      <c r="C9">
        <v>2624</v>
      </c>
      <c r="D9" t="s">
        <v>188</v>
      </c>
      <c r="E9" t="s">
        <v>1013</v>
      </c>
      <c r="G9">
        <v>460041</v>
      </c>
      <c r="I9" t="s">
        <v>1014</v>
      </c>
      <c r="L9">
        <v>71</v>
      </c>
      <c r="M9">
        <v>2025</v>
      </c>
      <c r="N9" s="42">
        <v>46006.500185185185</v>
      </c>
      <c r="O9" t="s">
        <v>626</v>
      </c>
      <c r="P9" t="s">
        <v>707</v>
      </c>
    </row>
    <row r="10" spans="1:16" x14ac:dyDescent="0.25">
      <c r="A10" t="s">
        <v>1015</v>
      </c>
      <c r="B10">
        <v>115295</v>
      </c>
      <c r="C10">
        <v>2624</v>
      </c>
      <c r="D10" t="s">
        <v>188</v>
      </c>
      <c r="E10" t="s">
        <v>1016</v>
      </c>
      <c r="G10">
        <v>458665</v>
      </c>
      <c r="I10" t="s">
        <v>1014</v>
      </c>
      <c r="L10">
        <v>71</v>
      </c>
      <c r="M10">
        <v>2025</v>
      </c>
      <c r="N10" s="42">
        <v>46006.500185185185</v>
      </c>
      <c r="O10" t="s">
        <v>626</v>
      </c>
      <c r="P10" t="s">
        <v>707</v>
      </c>
    </row>
    <row r="11" spans="1:16" x14ac:dyDescent="0.25">
      <c r="A11" t="s">
        <v>1017</v>
      </c>
      <c r="B11">
        <v>115295</v>
      </c>
      <c r="C11">
        <v>2624</v>
      </c>
      <c r="D11" t="s">
        <v>188</v>
      </c>
      <c r="E11" t="s">
        <v>1018</v>
      </c>
      <c r="G11">
        <v>341251</v>
      </c>
      <c r="I11" t="s">
        <v>691</v>
      </c>
      <c r="L11">
        <v>71</v>
      </c>
      <c r="M11">
        <v>2025</v>
      </c>
      <c r="N11" s="42">
        <v>46006.500196759262</v>
      </c>
      <c r="O11" t="s">
        <v>626</v>
      </c>
      <c r="P11" t="s">
        <v>707</v>
      </c>
    </row>
    <row r="12" spans="1:16" x14ac:dyDescent="0.25">
      <c r="A12" t="s">
        <v>1091</v>
      </c>
      <c r="B12">
        <v>354476</v>
      </c>
      <c r="C12">
        <v>2690</v>
      </c>
      <c r="D12" t="s">
        <v>332</v>
      </c>
      <c r="E12" t="s">
        <v>332</v>
      </c>
      <c r="F12">
        <v>354476</v>
      </c>
      <c r="G12">
        <v>129752</v>
      </c>
      <c r="H12" t="s">
        <v>1092</v>
      </c>
      <c r="I12" t="s">
        <v>691</v>
      </c>
      <c r="J12" t="s">
        <v>1093</v>
      </c>
      <c r="K12" t="s">
        <v>1094</v>
      </c>
      <c r="L12">
        <v>73</v>
      </c>
      <c r="M12">
        <v>2025</v>
      </c>
      <c r="N12" s="42">
        <v>46007.453159722223</v>
      </c>
      <c r="O12" t="s">
        <v>626</v>
      </c>
      <c r="P12" t="s">
        <v>705</v>
      </c>
    </row>
    <row r="13" spans="1:16" x14ac:dyDescent="0.25">
      <c r="A13" t="s">
        <v>1095</v>
      </c>
      <c r="B13">
        <v>354476</v>
      </c>
      <c r="C13">
        <v>2690</v>
      </c>
      <c r="D13" t="s">
        <v>332</v>
      </c>
      <c r="E13" t="s">
        <v>1096</v>
      </c>
      <c r="F13">
        <v>352155</v>
      </c>
      <c r="G13">
        <v>122682</v>
      </c>
      <c r="H13" t="s">
        <v>1097</v>
      </c>
      <c r="I13" t="s">
        <v>691</v>
      </c>
      <c r="J13" t="s">
        <v>1093</v>
      </c>
      <c r="K13" t="s">
        <v>1094</v>
      </c>
      <c r="L13">
        <v>73</v>
      </c>
      <c r="M13">
        <v>2025</v>
      </c>
      <c r="N13" s="42">
        <v>46007.4531712963</v>
      </c>
      <c r="O13" t="s">
        <v>626</v>
      </c>
      <c r="P13" t="s">
        <v>707</v>
      </c>
    </row>
    <row r="14" spans="1:16" x14ac:dyDescent="0.25">
      <c r="A14" t="s">
        <v>1098</v>
      </c>
      <c r="B14">
        <v>354476</v>
      </c>
      <c r="C14">
        <v>2690</v>
      </c>
      <c r="D14" t="s">
        <v>332</v>
      </c>
      <c r="E14" t="s">
        <v>1099</v>
      </c>
      <c r="F14">
        <v>356790</v>
      </c>
      <c r="G14">
        <v>122297</v>
      </c>
      <c r="H14" t="s">
        <v>1097</v>
      </c>
      <c r="I14" t="s">
        <v>691</v>
      </c>
      <c r="J14" t="s">
        <v>1093</v>
      </c>
      <c r="K14" t="s">
        <v>1094</v>
      </c>
      <c r="L14">
        <v>73</v>
      </c>
      <c r="M14">
        <v>2025</v>
      </c>
      <c r="N14" s="42">
        <v>46007.453182870369</v>
      </c>
      <c r="O14" t="s">
        <v>626</v>
      </c>
      <c r="P14" t="s">
        <v>707</v>
      </c>
    </row>
    <row r="15" spans="1:16" x14ac:dyDescent="0.25">
      <c r="A15" t="s">
        <v>1144</v>
      </c>
      <c r="B15">
        <v>127927</v>
      </c>
      <c r="C15">
        <v>2624</v>
      </c>
      <c r="D15" t="s">
        <v>241</v>
      </c>
      <c r="E15" t="s">
        <v>241</v>
      </c>
      <c r="F15">
        <v>127927</v>
      </c>
      <c r="G15">
        <v>340554</v>
      </c>
      <c r="H15" t="s">
        <v>1139</v>
      </c>
      <c r="I15" t="s">
        <v>691</v>
      </c>
      <c r="J15" t="s">
        <v>692</v>
      </c>
      <c r="K15" t="s">
        <v>1142</v>
      </c>
      <c r="L15">
        <v>198</v>
      </c>
      <c r="M15">
        <v>2025</v>
      </c>
      <c r="N15" s="42">
        <v>46011.470393518517</v>
      </c>
      <c r="O15" t="s">
        <v>626</v>
      </c>
      <c r="P15" t="s">
        <v>705</v>
      </c>
    </row>
    <row r="16" spans="1:16" x14ac:dyDescent="0.25">
      <c r="A16" t="s">
        <v>1145</v>
      </c>
      <c r="B16">
        <v>127927</v>
      </c>
      <c r="C16">
        <v>2624</v>
      </c>
      <c r="D16" t="s">
        <v>241</v>
      </c>
      <c r="E16" t="s">
        <v>1140</v>
      </c>
      <c r="F16">
        <v>179135</v>
      </c>
      <c r="G16">
        <v>334556</v>
      </c>
      <c r="H16" t="s">
        <v>1139</v>
      </c>
      <c r="I16" t="s">
        <v>691</v>
      </c>
      <c r="J16" t="s">
        <v>692</v>
      </c>
      <c r="K16" t="s">
        <v>1142</v>
      </c>
      <c r="L16">
        <v>198</v>
      </c>
      <c r="M16">
        <v>2025</v>
      </c>
      <c r="N16" s="42">
        <v>46011.470393518517</v>
      </c>
      <c r="O16" t="s">
        <v>626</v>
      </c>
      <c r="P16" t="s">
        <v>707</v>
      </c>
    </row>
    <row r="17" spans="1:16" x14ac:dyDescent="0.25">
      <c r="A17" t="s">
        <v>1157</v>
      </c>
      <c r="B17">
        <v>129449</v>
      </c>
      <c r="C17">
        <v>2624</v>
      </c>
      <c r="D17" t="s">
        <v>293</v>
      </c>
      <c r="E17" t="s">
        <v>293</v>
      </c>
      <c r="F17">
        <v>129449</v>
      </c>
      <c r="G17">
        <v>330660</v>
      </c>
      <c r="H17" t="s">
        <v>1158</v>
      </c>
      <c r="I17" t="s">
        <v>691</v>
      </c>
      <c r="J17" t="s">
        <v>692</v>
      </c>
      <c r="K17" t="s">
        <v>1154</v>
      </c>
      <c r="L17">
        <v>198</v>
      </c>
      <c r="M17">
        <v>2025</v>
      </c>
      <c r="N17" s="42">
        <v>46011.490312499998</v>
      </c>
      <c r="O17" t="s">
        <v>626</v>
      </c>
      <c r="P17" t="s">
        <v>705</v>
      </c>
    </row>
    <row r="18" spans="1:16" x14ac:dyDescent="0.25">
      <c r="A18" t="s">
        <v>1159</v>
      </c>
      <c r="B18">
        <v>129449</v>
      </c>
      <c r="C18">
        <v>2624</v>
      </c>
      <c r="D18" t="s">
        <v>293</v>
      </c>
      <c r="E18" t="s">
        <v>1160</v>
      </c>
      <c r="F18">
        <v>129450</v>
      </c>
      <c r="G18">
        <v>340166</v>
      </c>
      <c r="H18" t="s">
        <v>1158</v>
      </c>
      <c r="I18" t="s">
        <v>691</v>
      </c>
      <c r="J18" t="s">
        <v>692</v>
      </c>
      <c r="K18" t="s">
        <v>1154</v>
      </c>
      <c r="L18">
        <v>198</v>
      </c>
      <c r="M18">
        <v>2025</v>
      </c>
      <c r="N18" s="42">
        <v>46011.490324074075</v>
      </c>
      <c r="O18" t="s">
        <v>626</v>
      </c>
      <c r="P18" t="s">
        <v>707</v>
      </c>
    </row>
    <row r="19" spans="1:16" x14ac:dyDescent="0.25">
      <c r="A19" t="s">
        <v>1170</v>
      </c>
      <c r="B19">
        <v>471107</v>
      </c>
      <c r="C19">
        <v>1741</v>
      </c>
      <c r="D19" t="s">
        <v>1166</v>
      </c>
      <c r="E19" t="s">
        <v>1166</v>
      </c>
      <c r="F19">
        <v>471107</v>
      </c>
      <c r="G19">
        <v>138103</v>
      </c>
      <c r="H19" t="s">
        <v>1171</v>
      </c>
      <c r="I19" t="s">
        <v>691</v>
      </c>
      <c r="J19" t="s">
        <v>692</v>
      </c>
      <c r="K19" t="s">
        <v>1168</v>
      </c>
      <c r="L19">
        <v>198</v>
      </c>
      <c r="M19">
        <v>2025</v>
      </c>
      <c r="N19" s="42">
        <v>46011.513425925928</v>
      </c>
      <c r="O19" t="s">
        <v>626</v>
      </c>
      <c r="P19" t="s">
        <v>705</v>
      </c>
    </row>
    <row r="20" spans="1:16" x14ac:dyDescent="0.25">
      <c r="A20" t="s">
        <v>1172</v>
      </c>
      <c r="B20">
        <v>471107</v>
      </c>
      <c r="C20">
        <v>1741</v>
      </c>
      <c r="D20" t="s">
        <v>1166</v>
      </c>
      <c r="E20" t="s">
        <v>1173</v>
      </c>
      <c r="F20">
        <v>451849</v>
      </c>
      <c r="G20">
        <v>136505</v>
      </c>
      <c r="H20" t="s">
        <v>1171</v>
      </c>
      <c r="I20" t="s">
        <v>691</v>
      </c>
      <c r="J20" t="s">
        <v>692</v>
      </c>
      <c r="K20" t="s">
        <v>1168</v>
      </c>
      <c r="L20">
        <v>198</v>
      </c>
      <c r="M20">
        <v>2025</v>
      </c>
      <c r="N20" s="42">
        <v>46011.513437499998</v>
      </c>
      <c r="O20" t="s">
        <v>626</v>
      </c>
      <c r="P20" t="s">
        <v>707</v>
      </c>
    </row>
    <row r="21" spans="1:16" x14ac:dyDescent="0.25">
      <c r="A21" t="s">
        <v>1496</v>
      </c>
      <c r="B21">
        <v>451657</v>
      </c>
      <c r="C21">
        <v>1741</v>
      </c>
      <c r="D21" t="s">
        <v>1131</v>
      </c>
      <c r="E21" t="s">
        <v>1131</v>
      </c>
      <c r="F21">
        <v>451657</v>
      </c>
      <c r="G21" t="s">
        <v>692</v>
      </c>
      <c r="H21" t="s">
        <v>692</v>
      </c>
      <c r="I21" t="s">
        <v>692</v>
      </c>
      <c r="J21" t="s">
        <v>1497</v>
      </c>
      <c r="K21" t="s">
        <v>1133</v>
      </c>
      <c r="L21">
        <v>6</v>
      </c>
      <c r="M21">
        <v>2026</v>
      </c>
      <c r="N21" s="42">
        <v>46025.45380787037</v>
      </c>
      <c r="O21" t="s">
        <v>626</v>
      </c>
      <c r="P21" t="s">
        <v>705</v>
      </c>
    </row>
    <row r="22" spans="1:16" x14ac:dyDescent="0.25">
      <c r="A22" t="s">
        <v>1519</v>
      </c>
      <c r="B22">
        <v>218434</v>
      </c>
      <c r="C22">
        <v>2533</v>
      </c>
      <c r="D22" t="s">
        <v>1507</v>
      </c>
      <c r="E22" t="s">
        <v>1507</v>
      </c>
      <c r="F22">
        <v>218434</v>
      </c>
      <c r="G22">
        <v>784420</v>
      </c>
      <c r="H22" t="s">
        <v>1520</v>
      </c>
      <c r="I22" t="s">
        <v>691</v>
      </c>
      <c r="K22" t="s">
        <v>1518</v>
      </c>
      <c r="L22">
        <v>6</v>
      </c>
      <c r="M22">
        <v>2026</v>
      </c>
      <c r="N22" s="42">
        <v>46032.395520833335</v>
      </c>
      <c r="O22" t="s">
        <v>626</v>
      </c>
      <c r="P22" t="s">
        <v>705</v>
      </c>
    </row>
    <row r="23" spans="1:16" x14ac:dyDescent="0.25">
      <c r="A23" t="s">
        <v>1521</v>
      </c>
      <c r="B23">
        <v>218434</v>
      </c>
      <c r="C23">
        <v>2533</v>
      </c>
      <c r="D23" t="s">
        <v>1507</v>
      </c>
      <c r="E23" t="s">
        <v>1522</v>
      </c>
      <c r="F23">
        <v>218427</v>
      </c>
      <c r="G23">
        <v>784421</v>
      </c>
      <c r="H23" t="s">
        <v>1520</v>
      </c>
      <c r="I23" t="s">
        <v>691</v>
      </c>
      <c r="K23" t="s">
        <v>1518</v>
      </c>
      <c r="L23">
        <v>6</v>
      </c>
      <c r="M23">
        <v>2026</v>
      </c>
      <c r="N23" s="42">
        <v>46032.395520833335</v>
      </c>
      <c r="O23" t="s">
        <v>626</v>
      </c>
      <c r="P23" t="s">
        <v>707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8998-434C-4FE8-854D-DEBDBEEC2BD9}">
  <sheetPr codeName="Sheet9"/>
  <dimension ref="A1:L26"/>
  <sheetViews>
    <sheetView workbookViewId="0">
      <selection activeCell="J15" sqref="J15"/>
    </sheetView>
  </sheetViews>
  <sheetFormatPr defaultRowHeight="15" x14ac:dyDescent="0.25"/>
  <cols>
    <col min="1" max="1" width="6.7109375" bestFit="1" customWidth="1"/>
    <col min="2" max="2" width="10.7109375" bestFit="1" customWidth="1"/>
    <col min="4" max="4" width="10.140625" bestFit="1" customWidth="1"/>
    <col min="5" max="5" width="6.42578125" bestFit="1" customWidth="1"/>
    <col min="6" max="6" width="13.85546875" bestFit="1" customWidth="1"/>
    <col min="7" max="7" width="6.28515625" bestFit="1" customWidth="1"/>
    <col min="8" max="8" width="7.5703125" bestFit="1" customWidth="1"/>
    <col min="9" max="9" width="10.140625" bestFit="1" customWidth="1"/>
    <col min="10" max="10" width="12.140625" bestFit="1" customWidth="1"/>
    <col min="11" max="11" width="15.140625" bestFit="1" customWidth="1"/>
    <col min="12" max="12" width="8" bestFit="1" customWidth="1"/>
  </cols>
  <sheetData>
    <row r="1" spans="1:12" x14ac:dyDescent="0.25">
      <c r="A1" s="43" t="s">
        <v>1069</v>
      </c>
      <c r="B1" s="43" t="s">
        <v>680</v>
      </c>
      <c r="C1" s="43" t="s">
        <v>1070</v>
      </c>
      <c r="D1" s="43" t="s">
        <v>1071</v>
      </c>
      <c r="E1" s="43" t="s">
        <v>28</v>
      </c>
      <c r="F1" s="43" t="s">
        <v>1072</v>
      </c>
      <c r="G1" s="43" t="s">
        <v>33</v>
      </c>
      <c r="H1" s="43" t="s">
        <v>32</v>
      </c>
      <c r="I1" s="43" t="s">
        <v>1073</v>
      </c>
      <c r="J1" s="43" t="s">
        <v>1074</v>
      </c>
      <c r="K1" s="43" t="s">
        <v>1075</v>
      </c>
      <c r="L1" s="43" t="s">
        <v>1076</v>
      </c>
    </row>
    <row r="2" spans="1:12" x14ac:dyDescent="0.25">
      <c r="A2" t="s">
        <v>1082</v>
      </c>
      <c r="B2">
        <v>274214</v>
      </c>
      <c r="D2" t="s">
        <v>1083</v>
      </c>
      <c r="F2" t="s">
        <v>1084</v>
      </c>
      <c r="H2" t="s">
        <v>1085</v>
      </c>
      <c r="I2" t="s">
        <v>626</v>
      </c>
      <c r="J2" s="42">
        <v>46007.362233796295</v>
      </c>
      <c r="L2">
        <v>0</v>
      </c>
    </row>
    <row r="3" spans="1:12" x14ac:dyDescent="0.25">
      <c r="A3" t="s">
        <v>1112</v>
      </c>
      <c r="B3">
        <v>354476</v>
      </c>
      <c r="D3" t="s">
        <v>1083</v>
      </c>
      <c r="H3" t="s">
        <v>1085</v>
      </c>
      <c r="I3" t="s">
        <v>626</v>
      </c>
      <c r="J3" s="42">
        <v>46007.47011574074</v>
      </c>
      <c r="L3">
        <v>0</v>
      </c>
    </row>
    <row r="4" spans="1:12" x14ac:dyDescent="0.25">
      <c r="A4" t="s">
        <v>1113</v>
      </c>
      <c r="B4">
        <v>354476</v>
      </c>
      <c r="D4" t="s">
        <v>1083</v>
      </c>
      <c r="F4" s="4">
        <v>46014</v>
      </c>
      <c r="H4" t="s">
        <v>1085</v>
      </c>
      <c r="I4" t="s">
        <v>626</v>
      </c>
      <c r="J4" s="42">
        <v>46007.470972222225</v>
      </c>
      <c r="L4">
        <v>0</v>
      </c>
    </row>
    <row r="5" spans="1:12" x14ac:dyDescent="0.25">
      <c r="A5" t="s">
        <v>1114</v>
      </c>
      <c r="B5">
        <v>280000</v>
      </c>
      <c r="D5" t="s">
        <v>1115</v>
      </c>
      <c r="F5" s="42"/>
      <c r="H5" t="s">
        <v>1085</v>
      </c>
      <c r="I5" t="s">
        <v>626</v>
      </c>
      <c r="J5" s="42">
        <v>46007.471956018519</v>
      </c>
      <c r="L5">
        <v>0</v>
      </c>
    </row>
    <row r="6" spans="1:12" x14ac:dyDescent="0.25">
      <c r="A6" t="s">
        <v>1116</v>
      </c>
      <c r="B6">
        <v>354476</v>
      </c>
      <c r="D6" t="s">
        <v>1083</v>
      </c>
      <c r="F6" t="s">
        <v>1084</v>
      </c>
      <c r="H6" t="s">
        <v>1085</v>
      </c>
      <c r="I6" t="s">
        <v>626</v>
      </c>
      <c r="J6" s="42">
        <v>46007.495833333334</v>
      </c>
      <c r="L6">
        <v>0</v>
      </c>
    </row>
    <row r="7" spans="1:12" x14ac:dyDescent="0.25">
      <c r="A7" t="s">
        <v>1117</v>
      </c>
      <c r="B7">
        <v>354476</v>
      </c>
      <c r="D7" t="s">
        <v>1083</v>
      </c>
      <c r="F7" t="s">
        <v>1084</v>
      </c>
      <c r="H7" t="s">
        <v>1085</v>
      </c>
      <c r="I7" t="s">
        <v>626</v>
      </c>
      <c r="J7" s="42">
        <v>46007.496099537035</v>
      </c>
      <c r="L7">
        <v>0</v>
      </c>
    </row>
    <row r="8" spans="1:12" x14ac:dyDescent="0.25">
      <c r="A8" t="s">
        <v>1118</v>
      </c>
      <c r="B8">
        <v>354476</v>
      </c>
      <c r="D8" t="s">
        <v>1083</v>
      </c>
      <c r="F8" t="s">
        <v>1084</v>
      </c>
      <c r="H8" t="s">
        <v>1085</v>
      </c>
      <c r="I8" t="s">
        <v>626</v>
      </c>
      <c r="J8" s="42">
        <v>46007.496168981481</v>
      </c>
      <c r="L8">
        <v>0</v>
      </c>
    </row>
    <row r="9" spans="1:12" x14ac:dyDescent="0.25">
      <c r="A9" t="s">
        <v>1119</v>
      </c>
      <c r="B9">
        <v>354476</v>
      </c>
      <c r="H9" t="s">
        <v>1085</v>
      </c>
      <c r="I9" t="s">
        <v>626</v>
      </c>
      <c r="J9" s="42">
        <v>46007.496446759258</v>
      </c>
      <c r="L9">
        <v>0</v>
      </c>
    </row>
    <row r="10" spans="1:12" x14ac:dyDescent="0.25">
      <c r="A10" t="s">
        <v>1120</v>
      </c>
      <c r="B10">
        <v>452590</v>
      </c>
      <c r="D10" t="s">
        <v>1083</v>
      </c>
      <c r="F10" t="s">
        <v>1084</v>
      </c>
      <c r="H10" t="s">
        <v>1085</v>
      </c>
      <c r="I10" t="s">
        <v>626</v>
      </c>
      <c r="J10" s="42">
        <v>46007.516111111108</v>
      </c>
      <c r="L10">
        <v>0</v>
      </c>
    </row>
    <row r="11" spans="1:12" x14ac:dyDescent="0.25">
      <c r="A11" t="s">
        <v>1121</v>
      </c>
      <c r="B11">
        <v>452590</v>
      </c>
      <c r="D11" t="s">
        <v>1083</v>
      </c>
      <c r="F11" t="s">
        <v>1084</v>
      </c>
      <c r="H11" t="s">
        <v>1085</v>
      </c>
      <c r="I11" t="s">
        <v>626</v>
      </c>
      <c r="J11" s="42">
        <v>46007.516192129631</v>
      </c>
      <c r="L11">
        <v>0</v>
      </c>
    </row>
    <row r="12" spans="1:12" x14ac:dyDescent="0.25">
      <c r="A12" t="s">
        <v>1126</v>
      </c>
      <c r="B12">
        <v>354476</v>
      </c>
      <c r="D12" t="s">
        <v>1083</v>
      </c>
      <c r="F12" t="s">
        <v>1084</v>
      </c>
      <c r="H12" t="s">
        <v>1085</v>
      </c>
      <c r="I12" t="s">
        <v>626</v>
      </c>
      <c r="J12" s="42">
        <v>46007.559942129628</v>
      </c>
      <c r="L12">
        <v>0</v>
      </c>
    </row>
    <row r="13" spans="1:12" x14ac:dyDescent="0.25">
      <c r="A13" t="s">
        <v>1127</v>
      </c>
      <c r="B13">
        <v>354476</v>
      </c>
      <c r="D13" t="s">
        <v>1083</v>
      </c>
      <c r="F13" t="s">
        <v>1084</v>
      </c>
      <c r="H13" t="s">
        <v>1085</v>
      </c>
      <c r="I13" t="s">
        <v>626</v>
      </c>
      <c r="J13" s="42">
        <v>46007.560266203705</v>
      </c>
      <c r="L13">
        <v>0</v>
      </c>
    </row>
    <row r="14" spans="1:12" x14ac:dyDescent="0.25">
      <c r="A14" t="s">
        <v>1128</v>
      </c>
      <c r="B14">
        <v>354476</v>
      </c>
      <c r="D14" t="s">
        <v>1083</v>
      </c>
      <c r="F14" t="s">
        <v>1084</v>
      </c>
      <c r="H14" t="s">
        <v>1085</v>
      </c>
      <c r="I14" t="s">
        <v>626</v>
      </c>
      <c r="J14" s="42">
        <v>46007.560439814813</v>
      </c>
      <c r="L14">
        <v>0</v>
      </c>
    </row>
    <row r="15" spans="1:12" x14ac:dyDescent="0.25">
      <c r="A15" t="s">
        <v>1130</v>
      </c>
      <c r="B15">
        <v>319631</v>
      </c>
      <c r="D15" t="s">
        <v>1083</v>
      </c>
      <c r="F15" t="s">
        <v>1084</v>
      </c>
      <c r="H15" t="s">
        <v>1085</v>
      </c>
      <c r="I15" t="s">
        <v>626</v>
      </c>
      <c r="J15" s="42">
        <v>46007.564108796294</v>
      </c>
      <c r="L15">
        <v>0</v>
      </c>
    </row>
    <row r="16" spans="1:12" x14ac:dyDescent="0.25">
      <c r="A16" t="s">
        <v>1180</v>
      </c>
      <c r="B16">
        <v>452590</v>
      </c>
      <c r="D16" t="s">
        <v>1083</v>
      </c>
      <c r="F16" t="s">
        <v>1181</v>
      </c>
      <c r="H16" t="s">
        <v>1085</v>
      </c>
      <c r="I16" t="s">
        <v>626</v>
      </c>
      <c r="J16" s="42">
        <v>46013.364699074074</v>
      </c>
      <c r="L16">
        <v>0</v>
      </c>
    </row>
    <row r="17" spans="1:12" x14ac:dyDescent="0.25">
      <c r="A17" t="s">
        <v>1297</v>
      </c>
      <c r="B17">
        <v>500878</v>
      </c>
      <c r="D17" t="s">
        <v>1298</v>
      </c>
      <c r="E17" t="s">
        <v>643</v>
      </c>
      <c r="F17" s="4">
        <v>45993</v>
      </c>
      <c r="H17" t="s">
        <v>1085</v>
      </c>
      <c r="I17" t="s">
        <v>626</v>
      </c>
      <c r="J17" s="42">
        <v>46014.600243055553</v>
      </c>
      <c r="L17">
        <v>1</v>
      </c>
    </row>
    <row r="18" spans="1:12" x14ac:dyDescent="0.25">
      <c r="A18" t="s">
        <v>1299</v>
      </c>
      <c r="B18">
        <v>500878</v>
      </c>
      <c r="D18" t="s">
        <v>1083</v>
      </c>
      <c r="F18" t="s">
        <v>1300</v>
      </c>
      <c r="H18" t="s">
        <v>1085</v>
      </c>
      <c r="I18" t="s">
        <v>626</v>
      </c>
      <c r="J18" s="42">
        <v>46014.602962962963</v>
      </c>
      <c r="L18">
        <v>0</v>
      </c>
    </row>
    <row r="19" spans="1:12" x14ac:dyDescent="0.25">
      <c r="A19" t="s">
        <v>1446</v>
      </c>
      <c r="B19">
        <v>115494</v>
      </c>
      <c r="D19" t="s">
        <v>1447</v>
      </c>
      <c r="E19" t="s">
        <v>643</v>
      </c>
      <c r="F19" s="4">
        <v>46023</v>
      </c>
      <c r="H19" t="s">
        <v>1085</v>
      </c>
      <c r="I19" t="s">
        <v>626</v>
      </c>
      <c r="J19" s="42">
        <v>46016.549247685187</v>
      </c>
      <c r="L19">
        <v>0</v>
      </c>
    </row>
    <row r="20" spans="1:12" x14ac:dyDescent="0.25">
      <c r="A20" t="s">
        <v>1448</v>
      </c>
      <c r="B20">
        <v>115543</v>
      </c>
      <c r="D20" t="s">
        <v>1449</v>
      </c>
      <c r="E20" t="s">
        <v>625</v>
      </c>
      <c r="F20" s="4">
        <v>46016.591666666667</v>
      </c>
      <c r="H20" t="s">
        <v>1085</v>
      </c>
      <c r="I20" t="s">
        <v>626</v>
      </c>
      <c r="J20" s="42">
        <v>46016.551689814813</v>
      </c>
      <c r="K20" s="42">
        <v>46017.491793981484</v>
      </c>
      <c r="L20">
        <v>0</v>
      </c>
    </row>
    <row r="21" spans="1:12" x14ac:dyDescent="0.25">
      <c r="A21" t="s">
        <v>1450</v>
      </c>
      <c r="B21">
        <v>115543</v>
      </c>
      <c r="D21" t="s">
        <v>1083</v>
      </c>
      <c r="F21" s="4">
        <v>46023</v>
      </c>
      <c r="H21" t="s">
        <v>1085</v>
      </c>
      <c r="I21" t="s">
        <v>626</v>
      </c>
      <c r="J21" s="42">
        <v>46016.595960648148</v>
      </c>
      <c r="L21">
        <v>0</v>
      </c>
    </row>
    <row r="22" spans="1:12" x14ac:dyDescent="0.25">
      <c r="A22" t="s">
        <v>1451</v>
      </c>
      <c r="B22">
        <v>501857</v>
      </c>
      <c r="D22" t="s">
        <v>1452</v>
      </c>
      <c r="E22" t="s">
        <v>643</v>
      </c>
      <c r="F22" s="4">
        <v>46018</v>
      </c>
      <c r="H22" t="s">
        <v>1085</v>
      </c>
      <c r="I22" t="s">
        <v>626</v>
      </c>
      <c r="J22" s="42">
        <v>46017.459618055553</v>
      </c>
      <c r="L22">
        <v>0</v>
      </c>
    </row>
    <row r="23" spans="1:12" x14ac:dyDescent="0.25">
      <c r="A23" t="s">
        <v>1453</v>
      </c>
      <c r="B23">
        <v>115543</v>
      </c>
      <c r="D23" t="s">
        <v>1454</v>
      </c>
      <c r="E23" t="s">
        <v>28</v>
      </c>
      <c r="F23" s="4" t="s">
        <v>1455</v>
      </c>
      <c r="G23" t="s">
        <v>33</v>
      </c>
      <c r="H23" t="s">
        <v>1456</v>
      </c>
      <c r="I23" t="s">
        <v>626</v>
      </c>
      <c r="J23" s="42">
        <v>46017.490914351853</v>
      </c>
      <c r="L23">
        <v>0</v>
      </c>
    </row>
    <row r="24" spans="1:12" x14ac:dyDescent="0.25">
      <c r="A24" t="s">
        <v>1459</v>
      </c>
      <c r="B24">
        <v>157199</v>
      </c>
      <c r="D24" t="s">
        <v>1460</v>
      </c>
      <c r="E24" t="s">
        <v>643</v>
      </c>
      <c r="F24" s="4">
        <v>46012</v>
      </c>
      <c r="G24" t="s">
        <v>1461</v>
      </c>
      <c r="H24" t="s">
        <v>1085</v>
      </c>
      <c r="I24" t="s">
        <v>626</v>
      </c>
      <c r="J24" s="42">
        <v>46018.449004629627</v>
      </c>
      <c r="L24">
        <v>1</v>
      </c>
    </row>
    <row r="25" spans="1:12" x14ac:dyDescent="0.25">
      <c r="A25" t="s">
        <v>1472</v>
      </c>
      <c r="B25">
        <v>301440</v>
      </c>
      <c r="D25" t="s">
        <v>1460</v>
      </c>
      <c r="E25" t="s">
        <v>643</v>
      </c>
      <c r="F25" s="4">
        <v>46017</v>
      </c>
      <c r="H25" t="s">
        <v>1085</v>
      </c>
      <c r="I25" t="s">
        <v>626</v>
      </c>
      <c r="J25" s="42">
        <v>46018.486689814818</v>
      </c>
      <c r="L25">
        <v>1</v>
      </c>
    </row>
    <row r="26" spans="1:12" x14ac:dyDescent="0.25">
      <c r="A26" t="s">
        <v>1473</v>
      </c>
      <c r="B26">
        <v>500878</v>
      </c>
      <c r="D26" t="s">
        <v>1474</v>
      </c>
      <c r="G26" t="s">
        <v>1475</v>
      </c>
      <c r="I26" t="s">
        <v>626</v>
      </c>
      <c r="J26" s="42">
        <v>46021.36986111111</v>
      </c>
      <c r="K26" t="s">
        <v>1476</v>
      </c>
      <c r="L2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6558-5CE7-462D-8BF2-4E78E41F3A3C}">
  <sheetPr codeName="Sheet10"/>
  <dimension ref="A1:L23"/>
  <sheetViews>
    <sheetView workbookViewId="0">
      <selection activeCell="E13" sqref="E13"/>
    </sheetView>
  </sheetViews>
  <sheetFormatPr defaultRowHeight="15" x14ac:dyDescent="0.25"/>
  <cols>
    <col min="2" max="2" width="10.7109375" bestFit="1" customWidth="1"/>
    <col min="3" max="3" width="19.85546875" customWidth="1"/>
    <col min="4" max="4" width="11.5703125" bestFit="1" customWidth="1"/>
    <col min="5" max="5" width="13.28515625" bestFit="1" customWidth="1"/>
    <col min="6" max="6" width="8.140625" bestFit="1" customWidth="1"/>
    <col min="7" max="7" width="8.85546875" bestFit="1" customWidth="1"/>
    <col min="8" max="8" width="6.42578125" bestFit="1" customWidth="1"/>
    <col min="9" max="9" width="15.85546875" bestFit="1" customWidth="1"/>
    <col min="10" max="10" width="10.140625" bestFit="1" customWidth="1"/>
    <col min="11" max="11" width="6.28515625" bestFit="1" customWidth="1"/>
    <col min="12" max="12" width="8" bestFit="1" customWidth="1"/>
  </cols>
  <sheetData>
    <row r="1" spans="1:12" x14ac:dyDescent="0.25">
      <c r="A1" s="44" t="s">
        <v>1070</v>
      </c>
      <c r="B1" s="44" t="s">
        <v>680</v>
      </c>
      <c r="C1" s="44" t="s">
        <v>1077</v>
      </c>
      <c r="D1" s="44" t="s">
        <v>1078</v>
      </c>
      <c r="E1" s="44" t="s">
        <v>1079</v>
      </c>
      <c r="F1" s="44" t="s">
        <v>1080</v>
      </c>
      <c r="G1" s="44" t="s">
        <v>1081</v>
      </c>
      <c r="H1" s="44" t="s">
        <v>28</v>
      </c>
      <c r="I1" s="44" t="s">
        <v>1074</v>
      </c>
      <c r="J1" s="44" t="s">
        <v>1073</v>
      </c>
      <c r="K1" s="44" t="s">
        <v>33</v>
      </c>
      <c r="L1" s="44" t="s">
        <v>1076</v>
      </c>
    </row>
    <row r="2" spans="1:12" x14ac:dyDescent="0.25">
      <c r="A2" t="s">
        <v>1106</v>
      </c>
      <c r="B2">
        <v>354476</v>
      </c>
      <c r="C2" t="s">
        <v>1107</v>
      </c>
      <c r="D2" t="s">
        <v>1108</v>
      </c>
      <c r="E2" t="s">
        <v>1109</v>
      </c>
      <c r="F2" t="s">
        <v>1110</v>
      </c>
      <c r="G2" t="s">
        <v>47</v>
      </c>
      <c r="H2" t="s">
        <v>1111</v>
      </c>
      <c r="I2" s="42">
        <v>46007.469143518516</v>
      </c>
      <c r="J2" t="s">
        <v>626</v>
      </c>
      <c r="L2">
        <v>1</v>
      </c>
    </row>
    <row r="3" spans="1:12" x14ac:dyDescent="0.25">
      <c r="A3" t="s">
        <v>1122</v>
      </c>
      <c r="B3">
        <v>280000</v>
      </c>
      <c r="C3" t="s">
        <v>1123</v>
      </c>
      <c r="D3" t="s">
        <v>1124</v>
      </c>
      <c r="E3" t="s">
        <v>1125</v>
      </c>
      <c r="G3" t="s">
        <v>47</v>
      </c>
      <c r="H3" t="s">
        <v>1111</v>
      </c>
      <c r="I3" s="42">
        <v>46007.559351851851</v>
      </c>
      <c r="J3" t="s">
        <v>626</v>
      </c>
      <c r="L3">
        <v>1</v>
      </c>
    </row>
    <row r="4" spans="1:12" x14ac:dyDescent="0.25">
      <c r="A4" t="s">
        <v>1132</v>
      </c>
      <c r="B4">
        <v>451657</v>
      </c>
      <c r="C4" t="s">
        <v>1133</v>
      </c>
      <c r="D4" t="s">
        <v>1108</v>
      </c>
      <c r="E4" s="4">
        <v>45759</v>
      </c>
      <c r="F4" t="s">
        <v>1134</v>
      </c>
      <c r="G4" t="s">
        <v>47</v>
      </c>
      <c r="H4" t="s">
        <v>1111</v>
      </c>
      <c r="I4" s="42">
        <v>46007.577164351853</v>
      </c>
      <c r="J4" t="s">
        <v>626</v>
      </c>
      <c r="L4">
        <v>1</v>
      </c>
    </row>
    <row r="5" spans="1:12" x14ac:dyDescent="0.25">
      <c r="A5" t="s">
        <v>1135</v>
      </c>
      <c r="B5">
        <v>110151</v>
      </c>
      <c r="C5" t="s">
        <v>1136</v>
      </c>
      <c r="D5" t="s">
        <v>1108</v>
      </c>
      <c r="E5" s="4">
        <v>45758</v>
      </c>
      <c r="F5" t="s">
        <v>1137</v>
      </c>
      <c r="G5" t="s">
        <v>47</v>
      </c>
      <c r="H5" t="s">
        <v>1111</v>
      </c>
      <c r="I5" s="42">
        <v>46010.47284722222</v>
      </c>
      <c r="J5" t="s">
        <v>626</v>
      </c>
      <c r="L5">
        <v>1</v>
      </c>
    </row>
    <row r="6" spans="1:12" x14ac:dyDescent="0.25">
      <c r="A6" t="s">
        <v>1141</v>
      </c>
      <c r="B6">
        <v>127927</v>
      </c>
      <c r="C6" t="s">
        <v>1142</v>
      </c>
      <c r="D6" t="s">
        <v>1124</v>
      </c>
      <c r="E6" t="s">
        <v>1138</v>
      </c>
      <c r="F6" t="s">
        <v>1143</v>
      </c>
      <c r="G6" t="s">
        <v>47</v>
      </c>
      <c r="H6" t="s">
        <v>1111</v>
      </c>
      <c r="I6" s="42">
        <v>46011.45652777778</v>
      </c>
      <c r="J6" t="s">
        <v>626</v>
      </c>
      <c r="L6">
        <v>1</v>
      </c>
    </row>
    <row r="7" spans="1:12" x14ac:dyDescent="0.25">
      <c r="A7" t="s">
        <v>1153</v>
      </c>
      <c r="B7">
        <v>129449</v>
      </c>
      <c r="C7" t="s">
        <v>1154</v>
      </c>
      <c r="D7" t="s">
        <v>1124</v>
      </c>
      <c r="E7" t="s">
        <v>1155</v>
      </c>
      <c r="F7" t="s">
        <v>1156</v>
      </c>
      <c r="G7" t="s">
        <v>47</v>
      </c>
      <c r="H7" t="s">
        <v>1111</v>
      </c>
      <c r="I7" s="42">
        <v>46011.488240740742</v>
      </c>
      <c r="J7" t="s">
        <v>626</v>
      </c>
      <c r="L7">
        <v>1</v>
      </c>
    </row>
    <row r="8" spans="1:12" x14ac:dyDescent="0.25">
      <c r="A8" t="s">
        <v>1167</v>
      </c>
      <c r="B8">
        <v>471107</v>
      </c>
      <c r="C8" t="s">
        <v>1168</v>
      </c>
      <c r="D8" t="s">
        <v>1124</v>
      </c>
      <c r="E8" t="s">
        <v>1155</v>
      </c>
      <c r="F8" t="s">
        <v>1169</v>
      </c>
      <c r="G8" t="s">
        <v>47</v>
      </c>
      <c r="H8" t="s">
        <v>1111</v>
      </c>
      <c r="I8" s="42">
        <v>46011.508472222224</v>
      </c>
      <c r="J8" t="s">
        <v>626</v>
      </c>
      <c r="L8">
        <v>1</v>
      </c>
    </row>
    <row r="9" spans="1:12" x14ac:dyDescent="0.25">
      <c r="A9" t="s">
        <v>1294</v>
      </c>
      <c r="B9">
        <v>500878</v>
      </c>
      <c r="C9" t="s">
        <v>1295</v>
      </c>
      <c r="D9" t="s">
        <v>1296</v>
      </c>
      <c r="E9" t="s">
        <v>692</v>
      </c>
      <c r="F9" t="s">
        <v>692</v>
      </c>
      <c r="G9" t="s">
        <v>47</v>
      </c>
      <c r="H9" t="s">
        <v>1111</v>
      </c>
      <c r="I9" s="42">
        <v>46014.599918981483</v>
      </c>
      <c r="J9" t="s">
        <v>626</v>
      </c>
      <c r="L9">
        <v>1</v>
      </c>
    </row>
    <row r="10" spans="1:12" x14ac:dyDescent="0.25">
      <c r="A10" t="s">
        <v>1302</v>
      </c>
      <c r="B10">
        <v>319631</v>
      </c>
      <c r="C10" t="s">
        <v>1303</v>
      </c>
      <c r="D10" t="s">
        <v>1124</v>
      </c>
      <c r="E10" t="s">
        <v>692</v>
      </c>
      <c r="F10" t="s">
        <v>692</v>
      </c>
      <c r="G10" t="s">
        <v>692</v>
      </c>
      <c r="H10" t="s">
        <v>1111</v>
      </c>
      <c r="I10" s="42">
        <v>46014.608391203707</v>
      </c>
      <c r="J10" t="s">
        <v>626</v>
      </c>
      <c r="L10">
        <v>1</v>
      </c>
    </row>
    <row r="11" spans="1:12" x14ac:dyDescent="0.25">
      <c r="A11" t="s">
        <v>1427</v>
      </c>
      <c r="B11">
        <v>115494</v>
      </c>
      <c r="C11" t="s">
        <v>692</v>
      </c>
      <c r="D11" t="s">
        <v>1428</v>
      </c>
      <c r="E11" t="s">
        <v>692</v>
      </c>
      <c r="F11" t="s">
        <v>1429</v>
      </c>
      <c r="G11" t="s">
        <v>47</v>
      </c>
      <c r="H11" t="s">
        <v>1111</v>
      </c>
      <c r="I11" s="42">
        <v>46015.612187500003</v>
      </c>
      <c r="J11" t="s">
        <v>626</v>
      </c>
      <c r="L11">
        <v>1</v>
      </c>
    </row>
    <row r="12" spans="1:12" x14ac:dyDescent="0.25">
      <c r="A12" t="s">
        <v>1430</v>
      </c>
      <c r="B12">
        <v>452590</v>
      </c>
      <c r="C12" t="s">
        <v>692</v>
      </c>
      <c r="D12" t="s">
        <v>1108</v>
      </c>
      <c r="E12" t="s">
        <v>692</v>
      </c>
      <c r="F12" t="s">
        <v>1431</v>
      </c>
      <c r="G12" t="s">
        <v>47</v>
      </c>
      <c r="H12" t="s">
        <v>1111</v>
      </c>
      <c r="I12" s="42">
        <v>46015.613634259258</v>
      </c>
      <c r="J12" t="s">
        <v>626</v>
      </c>
      <c r="L12">
        <v>1</v>
      </c>
    </row>
    <row r="13" spans="1:12" x14ac:dyDescent="0.25">
      <c r="A13" t="s">
        <v>1432</v>
      </c>
      <c r="B13">
        <v>452861</v>
      </c>
      <c r="C13" t="s">
        <v>692</v>
      </c>
      <c r="D13" t="s">
        <v>1124</v>
      </c>
      <c r="E13">
        <v>2025</v>
      </c>
      <c r="F13" t="s">
        <v>1433</v>
      </c>
      <c r="G13" t="s">
        <v>47</v>
      </c>
      <c r="H13" t="s">
        <v>1111</v>
      </c>
      <c r="I13" s="42">
        <v>46015.61478009259</v>
      </c>
      <c r="J13" t="s">
        <v>626</v>
      </c>
      <c r="L13">
        <v>1</v>
      </c>
    </row>
    <row r="14" spans="1:12" x14ac:dyDescent="0.25">
      <c r="A14" t="s">
        <v>1434</v>
      </c>
      <c r="B14">
        <v>452366</v>
      </c>
      <c r="C14" t="s">
        <v>692</v>
      </c>
      <c r="D14" t="s">
        <v>1428</v>
      </c>
      <c r="E14" s="54">
        <v>45962</v>
      </c>
      <c r="F14" t="s">
        <v>1435</v>
      </c>
      <c r="G14" t="s">
        <v>47</v>
      </c>
      <c r="H14" t="s">
        <v>1111</v>
      </c>
      <c r="I14" s="42">
        <v>46015.616249999999</v>
      </c>
      <c r="J14" t="s">
        <v>626</v>
      </c>
      <c r="L14">
        <v>1</v>
      </c>
    </row>
    <row r="15" spans="1:12" x14ac:dyDescent="0.25">
      <c r="A15" t="s">
        <v>1436</v>
      </c>
      <c r="B15">
        <v>501857</v>
      </c>
      <c r="C15" t="s">
        <v>1437</v>
      </c>
      <c r="D15" t="s">
        <v>1108</v>
      </c>
      <c r="E15" t="s">
        <v>1125</v>
      </c>
      <c r="F15" t="s">
        <v>1110</v>
      </c>
      <c r="G15" t="s">
        <v>47</v>
      </c>
      <c r="H15" t="s">
        <v>1111</v>
      </c>
      <c r="I15" s="42">
        <v>46015.623240740744</v>
      </c>
      <c r="J15" t="s">
        <v>626</v>
      </c>
      <c r="L15">
        <v>1</v>
      </c>
    </row>
    <row r="16" spans="1:12" x14ac:dyDescent="0.25">
      <c r="A16" t="s">
        <v>1442</v>
      </c>
      <c r="B16">
        <v>115543</v>
      </c>
      <c r="C16" t="s">
        <v>692</v>
      </c>
      <c r="D16" t="s">
        <v>1428</v>
      </c>
      <c r="E16" t="s">
        <v>692</v>
      </c>
      <c r="F16" t="s">
        <v>1443</v>
      </c>
      <c r="G16" t="s">
        <v>47</v>
      </c>
      <c r="H16" t="s">
        <v>1111</v>
      </c>
      <c r="I16" s="42">
        <v>46016.547256944446</v>
      </c>
      <c r="J16" t="s">
        <v>626</v>
      </c>
      <c r="L16">
        <v>1</v>
      </c>
    </row>
    <row r="17" spans="1:12" x14ac:dyDescent="0.25">
      <c r="A17" t="s">
        <v>1458</v>
      </c>
      <c r="B17">
        <v>157199</v>
      </c>
      <c r="C17" t="s">
        <v>692</v>
      </c>
      <c r="D17" t="s">
        <v>1124</v>
      </c>
      <c r="E17" t="s">
        <v>692</v>
      </c>
      <c r="F17" t="s">
        <v>692</v>
      </c>
      <c r="G17" t="s">
        <v>47</v>
      </c>
      <c r="H17" t="s">
        <v>1111</v>
      </c>
      <c r="I17" s="42">
        <v>46018.448657407411</v>
      </c>
      <c r="J17" t="s">
        <v>626</v>
      </c>
      <c r="L17">
        <v>1</v>
      </c>
    </row>
    <row r="18" spans="1:12" x14ac:dyDescent="0.25">
      <c r="A18" t="s">
        <v>1471</v>
      </c>
      <c r="B18">
        <v>301440</v>
      </c>
      <c r="C18" t="s">
        <v>692</v>
      </c>
      <c r="D18" t="s">
        <v>1124</v>
      </c>
      <c r="E18" t="s">
        <v>692</v>
      </c>
      <c r="F18" t="s">
        <v>692</v>
      </c>
      <c r="G18" t="s">
        <v>47</v>
      </c>
      <c r="H18" t="s">
        <v>1111</v>
      </c>
      <c r="I18" s="42">
        <v>46018.486458333333</v>
      </c>
      <c r="J18" t="s">
        <v>626</v>
      </c>
      <c r="L18">
        <v>1</v>
      </c>
    </row>
    <row r="19" spans="1:12" x14ac:dyDescent="0.25">
      <c r="A19" t="s">
        <v>1478</v>
      </c>
      <c r="B19">
        <v>114748</v>
      </c>
      <c r="C19" t="s">
        <v>1479</v>
      </c>
      <c r="D19" t="s">
        <v>1428</v>
      </c>
      <c r="E19" t="s">
        <v>1480</v>
      </c>
      <c r="F19" t="s">
        <v>1429</v>
      </c>
      <c r="G19" t="s">
        <v>47</v>
      </c>
      <c r="H19" t="s">
        <v>1111</v>
      </c>
      <c r="I19" s="42">
        <v>46022.375115740739</v>
      </c>
      <c r="J19" t="s">
        <v>626</v>
      </c>
      <c r="L19">
        <v>1</v>
      </c>
    </row>
    <row r="20" spans="1:12" x14ac:dyDescent="0.25">
      <c r="A20" t="s">
        <v>1508</v>
      </c>
      <c r="B20">
        <v>218434</v>
      </c>
      <c r="C20" t="s">
        <v>1518</v>
      </c>
      <c r="D20" t="s">
        <v>1124</v>
      </c>
      <c r="E20" t="s">
        <v>1300</v>
      </c>
      <c r="F20" t="s">
        <v>1509</v>
      </c>
      <c r="G20" t="s">
        <v>47</v>
      </c>
      <c r="H20" t="s">
        <v>1111</v>
      </c>
      <c r="I20" s="42">
        <v>46027.605810185189</v>
      </c>
      <c r="J20" t="s">
        <v>626</v>
      </c>
      <c r="L20">
        <v>1</v>
      </c>
    </row>
    <row r="21" spans="1:12" x14ac:dyDescent="0.25">
      <c r="A21" t="s">
        <v>1511</v>
      </c>
      <c r="B21">
        <v>324165</v>
      </c>
      <c r="C21" t="s">
        <v>692</v>
      </c>
      <c r="D21" t="s">
        <v>1124</v>
      </c>
      <c r="E21" t="s">
        <v>1512</v>
      </c>
      <c r="F21" t="s">
        <v>1169</v>
      </c>
      <c r="G21" t="s">
        <v>47</v>
      </c>
      <c r="H21" t="s">
        <v>1111</v>
      </c>
      <c r="I21" s="42">
        <v>46027.633275462962</v>
      </c>
      <c r="J21" t="s">
        <v>626</v>
      </c>
      <c r="L21">
        <v>1</v>
      </c>
    </row>
    <row r="22" spans="1:12" x14ac:dyDescent="0.25">
      <c r="A22" t="s">
        <v>1515</v>
      </c>
      <c r="B22">
        <v>158437</v>
      </c>
      <c r="C22" t="s">
        <v>1517</v>
      </c>
      <c r="D22" t="s">
        <v>1428</v>
      </c>
      <c r="E22" t="s">
        <v>1300</v>
      </c>
      <c r="F22" t="s">
        <v>1516</v>
      </c>
      <c r="G22" t="s">
        <v>47</v>
      </c>
      <c r="H22" t="s">
        <v>1111</v>
      </c>
      <c r="I22" s="42">
        <v>46031.37908564815</v>
      </c>
      <c r="J22" t="s">
        <v>626</v>
      </c>
      <c r="L22">
        <v>1</v>
      </c>
    </row>
    <row r="23" spans="1:12" x14ac:dyDescent="0.25">
      <c r="A23" t="s">
        <v>1533</v>
      </c>
      <c r="B23">
        <v>323667</v>
      </c>
      <c r="C23" t="s">
        <v>692</v>
      </c>
      <c r="D23" t="s">
        <v>1124</v>
      </c>
      <c r="E23" t="s">
        <v>1534</v>
      </c>
      <c r="F23" t="s">
        <v>1535</v>
      </c>
      <c r="G23" t="s">
        <v>47</v>
      </c>
      <c r="H23" t="s">
        <v>1111</v>
      </c>
      <c r="I23" s="42">
        <v>46032.438854166663</v>
      </c>
      <c r="J23" t="s">
        <v>626</v>
      </c>
      <c r="L2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63C4-79E1-42B4-8EF7-22F457C8C5F4}">
  <sheetPr codeName="Sheet11"/>
  <dimension ref="A1:J1"/>
  <sheetViews>
    <sheetView workbookViewId="0"/>
  </sheetViews>
  <sheetFormatPr defaultRowHeight="15" x14ac:dyDescent="0.25"/>
  <cols>
    <col min="1" max="1" width="8.85546875" bestFit="1" customWidth="1"/>
    <col min="2" max="2" width="12.28515625" bestFit="1" customWidth="1"/>
    <col min="3" max="3" width="11.140625" bestFit="1" customWidth="1"/>
    <col min="4" max="4" width="14.42578125" bestFit="1" customWidth="1"/>
    <col min="5" max="5" width="12.140625" bestFit="1" customWidth="1"/>
    <col min="6" max="6" width="10.140625" bestFit="1" customWidth="1"/>
    <col min="7" max="7" width="12.7109375" bestFit="1" customWidth="1"/>
    <col min="8" max="8" width="6.42578125" bestFit="1" customWidth="1"/>
    <col min="9" max="9" width="8.85546875" bestFit="1" customWidth="1"/>
    <col min="10" max="10" width="6.28515625" bestFit="1" customWidth="1"/>
  </cols>
  <sheetData>
    <row r="1" spans="1:10" x14ac:dyDescent="0.25">
      <c r="A1" s="44" t="s">
        <v>1182</v>
      </c>
      <c r="B1" s="44" t="s">
        <v>1183</v>
      </c>
      <c r="C1" s="44" t="s">
        <v>1184</v>
      </c>
      <c r="D1" s="44" t="s">
        <v>1185</v>
      </c>
      <c r="E1" s="44" t="s">
        <v>1074</v>
      </c>
      <c r="F1" s="44" t="s">
        <v>1073</v>
      </c>
      <c r="G1" s="44" t="s">
        <v>1186</v>
      </c>
      <c r="H1" s="44" t="s">
        <v>28</v>
      </c>
      <c r="I1" s="44" t="s">
        <v>9</v>
      </c>
      <c r="J1" s="44" t="s">
        <v>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30A7-D2D2-43F2-872A-CB6BB9A314CD}">
  <sheetPr codeName="Sheet12"/>
  <dimension ref="A1:L1"/>
  <sheetViews>
    <sheetView workbookViewId="0"/>
  </sheetViews>
  <sheetFormatPr defaultRowHeight="15" x14ac:dyDescent="0.25"/>
  <cols>
    <col min="1" max="1" width="10.85546875" bestFit="1" customWidth="1"/>
    <col min="2" max="2" width="8.85546875" bestFit="1" customWidth="1"/>
    <col min="3" max="3" width="14.42578125" bestFit="1" customWidth="1"/>
    <col min="4" max="4" width="11.140625" bestFit="1" customWidth="1"/>
    <col min="5" max="5" width="10.42578125" bestFit="1" customWidth="1"/>
    <col min="6" max="6" width="16.28515625" bestFit="1" customWidth="1"/>
    <col min="7" max="7" width="12.140625" bestFit="1" customWidth="1"/>
    <col min="8" max="8" width="10.140625" bestFit="1" customWidth="1"/>
    <col min="9" max="9" width="8.7109375" bestFit="1" customWidth="1"/>
    <col min="10" max="10" width="6.42578125" bestFit="1" customWidth="1"/>
    <col min="11" max="11" width="7.5703125" bestFit="1" customWidth="1"/>
    <col min="12" max="12" width="6.28515625" bestFit="1" customWidth="1"/>
  </cols>
  <sheetData>
    <row r="1" spans="1:12" x14ac:dyDescent="0.25">
      <c r="A1" s="44" t="s">
        <v>1187</v>
      </c>
      <c r="B1" s="44" t="s">
        <v>1182</v>
      </c>
      <c r="C1" s="44" t="s">
        <v>1188</v>
      </c>
      <c r="D1" s="44" t="s">
        <v>1184</v>
      </c>
      <c r="E1" s="44" t="s">
        <v>1189</v>
      </c>
      <c r="F1" s="44" t="s">
        <v>1190</v>
      </c>
      <c r="G1" s="44" t="s">
        <v>1074</v>
      </c>
      <c r="H1" s="44" t="s">
        <v>1073</v>
      </c>
      <c r="I1" s="44" t="s">
        <v>1191</v>
      </c>
      <c r="J1" s="44" t="s">
        <v>28</v>
      </c>
      <c r="K1" s="44" t="s">
        <v>32</v>
      </c>
      <c r="L1" s="44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6FE1-7C0E-4DFB-98F0-B73EC6C2A725}">
  <sheetPr codeName="Sheet13"/>
  <dimension ref="A1:J1"/>
  <sheetViews>
    <sheetView workbookViewId="0"/>
  </sheetViews>
  <sheetFormatPr defaultRowHeight="15" x14ac:dyDescent="0.25"/>
  <cols>
    <col min="1" max="1" width="7" bestFit="1" customWidth="1"/>
    <col min="2" max="2" width="10.85546875" bestFit="1" customWidth="1"/>
    <col min="3" max="3" width="10.28515625" bestFit="1" customWidth="1"/>
    <col min="5" max="5" width="12.28515625" bestFit="1" customWidth="1"/>
    <col min="6" max="6" width="15.140625" bestFit="1" customWidth="1"/>
    <col min="7" max="7" width="13.140625" bestFit="1" customWidth="1"/>
    <col min="8" max="8" width="6.28515625" bestFit="1" customWidth="1"/>
    <col min="9" max="9" width="8.7109375" bestFit="1" customWidth="1"/>
    <col min="10" max="10" width="11.42578125" bestFit="1" customWidth="1"/>
  </cols>
  <sheetData>
    <row r="1" spans="1:10" x14ac:dyDescent="0.25">
      <c r="A1" s="44" t="s">
        <v>1192</v>
      </c>
      <c r="B1" s="44" t="s">
        <v>1187</v>
      </c>
      <c r="C1" s="44" t="s">
        <v>1193</v>
      </c>
      <c r="D1" s="44" t="s">
        <v>1194</v>
      </c>
      <c r="E1" s="44" t="s">
        <v>1195</v>
      </c>
      <c r="F1" s="44" t="s">
        <v>1075</v>
      </c>
      <c r="G1" s="44" t="s">
        <v>1196</v>
      </c>
      <c r="H1" s="44" t="s">
        <v>33</v>
      </c>
      <c r="I1" s="44" t="s">
        <v>1191</v>
      </c>
      <c r="J1" s="44" t="s">
        <v>1197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B613-9624-4207-B70A-58A5FB1CAD39}">
  <sheetPr codeName="Sheet14"/>
  <dimension ref="A1:L4"/>
  <sheetViews>
    <sheetView workbookViewId="0"/>
  </sheetViews>
  <sheetFormatPr defaultRowHeight="15" x14ac:dyDescent="0.25"/>
  <cols>
    <col min="1" max="1" width="13.42578125" bestFit="1" customWidth="1"/>
    <col min="2" max="2" width="10.7109375" bestFit="1" customWidth="1"/>
    <col min="4" max="4" width="9.85546875" bestFit="1" customWidth="1"/>
    <col min="5" max="5" width="9.5703125" bestFit="1" customWidth="1"/>
    <col min="6" max="6" width="13.42578125" bestFit="1" customWidth="1"/>
    <col min="7" max="7" width="8.28515625" bestFit="1" customWidth="1"/>
    <col min="8" max="8" width="7.85546875" bestFit="1" customWidth="1"/>
    <col min="9" max="9" width="11.5703125" bestFit="1" customWidth="1"/>
    <col min="10" max="10" width="11.85546875" bestFit="1" customWidth="1"/>
    <col min="11" max="11" width="8.5703125" bestFit="1" customWidth="1"/>
    <col min="12" max="12" width="6.28515625" bestFit="1" customWidth="1"/>
  </cols>
  <sheetData>
    <row r="1" spans="1:12" x14ac:dyDescent="0.25">
      <c r="A1" s="44" t="s">
        <v>1198</v>
      </c>
      <c r="B1" s="44" t="s">
        <v>680</v>
      </c>
      <c r="C1" s="44" t="s">
        <v>1070</v>
      </c>
      <c r="D1" s="44" t="s">
        <v>1199</v>
      </c>
      <c r="E1" s="44" t="s">
        <v>1200</v>
      </c>
      <c r="F1" s="44" t="s">
        <v>1201</v>
      </c>
      <c r="G1" s="44" t="s">
        <v>1202</v>
      </c>
      <c r="H1" s="44" t="s">
        <v>1203</v>
      </c>
      <c r="I1" s="44" t="s">
        <v>1204</v>
      </c>
      <c r="J1" s="44" t="s">
        <v>1205</v>
      </c>
      <c r="K1" s="44" t="s">
        <v>1206</v>
      </c>
      <c r="L1" s="44" t="s">
        <v>33</v>
      </c>
    </row>
    <row r="2" spans="1:12" x14ac:dyDescent="0.25">
      <c r="A2" t="s">
        <v>1438</v>
      </c>
      <c r="B2">
        <v>127927</v>
      </c>
      <c r="D2">
        <v>11</v>
      </c>
      <c r="E2" t="s">
        <v>1439</v>
      </c>
      <c r="F2" t="s">
        <v>1440</v>
      </c>
      <c r="G2" t="s">
        <v>1441</v>
      </c>
      <c r="H2">
        <v>2367193</v>
      </c>
      <c r="I2" s="42">
        <v>46015.632384259261</v>
      </c>
      <c r="J2" t="s">
        <v>626</v>
      </c>
      <c r="K2" t="b">
        <v>1</v>
      </c>
    </row>
    <row r="3" spans="1:12" x14ac:dyDescent="0.25">
      <c r="A3" t="s">
        <v>1462</v>
      </c>
      <c r="B3">
        <v>501857</v>
      </c>
      <c r="D3">
        <v>13</v>
      </c>
      <c r="E3" t="s">
        <v>1463</v>
      </c>
      <c r="F3" t="s">
        <v>1464</v>
      </c>
      <c r="G3" t="s">
        <v>1465</v>
      </c>
      <c r="H3">
        <v>83711</v>
      </c>
      <c r="I3" s="42">
        <v>46018.456967592596</v>
      </c>
      <c r="J3" t="s">
        <v>626</v>
      </c>
      <c r="K3" t="b">
        <v>0</v>
      </c>
    </row>
    <row r="4" spans="1:12" x14ac:dyDescent="0.25">
      <c r="A4" t="s">
        <v>1466</v>
      </c>
      <c r="B4">
        <v>501857</v>
      </c>
      <c r="D4">
        <v>11</v>
      </c>
      <c r="E4" t="s">
        <v>1467</v>
      </c>
      <c r="F4" t="s">
        <v>1468</v>
      </c>
      <c r="G4" t="s">
        <v>1469</v>
      </c>
      <c r="H4">
        <v>108766</v>
      </c>
      <c r="I4" s="42">
        <v>46018.459456018521</v>
      </c>
      <c r="J4" t="s">
        <v>626</v>
      </c>
      <c r="K4" t="b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79273-5BB0-4C4C-903B-D35581F197A1}">
  <sheetPr codeName="Sheet15"/>
  <dimension ref="A1:CL3"/>
  <sheetViews>
    <sheetView workbookViewId="0">
      <selection activeCell="J2" sqref="J2"/>
    </sheetView>
  </sheetViews>
  <sheetFormatPr defaultRowHeight="15" x14ac:dyDescent="0.25"/>
  <sheetData>
    <row r="1" spans="1:90" x14ac:dyDescent="0.25">
      <c r="A1" s="44" t="s">
        <v>680</v>
      </c>
      <c r="B1" s="44" t="s">
        <v>681</v>
      </c>
      <c r="C1" s="44" t="s">
        <v>1207</v>
      </c>
      <c r="D1" s="44" t="s">
        <v>8</v>
      </c>
      <c r="E1" s="44" t="s">
        <v>1208</v>
      </c>
      <c r="F1" s="44" t="s">
        <v>1209</v>
      </c>
      <c r="G1" s="44" t="s">
        <v>1210</v>
      </c>
      <c r="H1" s="44" t="s">
        <v>1211</v>
      </c>
      <c r="I1" s="44" t="s">
        <v>1074</v>
      </c>
      <c r="J1" s="44" t="s">
        <v>1212</v>
      </c>
      <c r="K1" s="44" t="s">
        <v>1213</v>
      </c>
      <c r="L1" s="44" t="s">
        <v>1214</v>
      </c>
      <c r="M1" s="44" t="s">
        <v>1215</v>
      </c>
      <c r="N1" s="44" t="s">
        <v>1216</v>
      </c>
      <c r="O1" s="44" t="s">
        <v>1217</v>
      </c>
      <c r="P1" s="44" t="s">
        <v>1218</v>
      </c>
      <c r="Q1" s="44" t="s">
        <v>1219</v>
      </c>
      <c r="R1" s="44" t="s">
        <v>1220</v>
      </c>
      <c r="S1" s="44" t="s">
        <v>1221</v>
      </c>
      <c r="T1" s="44" t="s">
        <v>1222</v>
      </c>
      <c r="U1" s="44" t="s">
        <v>1223</v>
      </c>
      <c r="V1" s="44" t="s">
        <v>1224</v>
      </c>
      <c r="W1" s="44" t="s">
        <v>1225</v>
      </c>
      <c r="X1" s="44" t="s">
        <v>1226</v>
      </c>
      <c r="Y1" s="44" t="s">
        <v>1227</v>
      </c>
      <c r="Z1" s="44" t="s">
        <v>1228</v>
      </c>
      <c r="AA1" s="44" t="s">
        <v>1229</v>
      </c>
      <c r="AB1" s="44" t="s">
        <v>1230</v>
      </c>
      <c r="AC1" s="44" t="s">
        <v>1231</v>
      </c>
      <c r="AD1" s="44" t="s">
        <v>1232</v>
      </c>
      <c r="AE1" s="44" t="s">
        <v>1233</v>
      </c>
      <c r="AF1" s="44" t="s">
        <v>1234</v>
      </c>
      <c r="AG1" s="44" t="s">
        <v>1235</v>
      </c>
      <c r="AH1" s="44" t="s">
        <v>1236</v>
      </c>
      <c r="AI1" s="44" t="s">
        <v>1237</v>
      </c>
      <c r="AJ1" s="44" t="s">
        <v>1238</v>
      </c>
      <c r="AK1" s="44" t="s">
        <v>1239</v>
      </c>
      <c r="AL1" s="44" t="s">
        <v>1240</v>
      </c>
      <c r="AM1" s="44" t="s">
        <v>1241</v>
      </c>
      <c r="AN1" s="44" t="s">
        <v>1242</v>
      </c>
      <c r="AO1" s="44" t="s">
        <v>1243</v>
      </c>
      <c r="AP1" s="44" t="s">
        <v>1244</v>
      </c>
      <c r="AQ1" s="44" t="s">
        <v>1245</v>
      </c>
      <c r="AR1" s="44" t="s">
        <v>1246</v>
      </c>
      <c r="AS1" s="44" t="s">
        <v>1247</v>
      </c>
      <c r="AT1" s="44" t="s">
        <v>1248</v>
      </c>
      <c r="AU1" s="44" t="s">
        <v>1249</v>
      </c>
      <c r="AV1" s="44" t="s">
        <v>1250</v>
      </c>
      <c r="AW1" s="44" t="s">
        <v>1251</v>
      </c>
      <c r="AX1" s="44" t="s">
        <v>1252</v>
      </c>
      <c r="AY1" s="44" t="s">
        <v>1253</v>
      </c>
      <c r="AZ1" s="44" t="s">
        <v>1254</v>
      </c>
      <c r="BA1" s="44" t="s">
        <v>1255</v>
      </c>
      <c r="BB1" s="44" t="s">
        <v>1256</v>
      </c>
      <c r="BC1" s="44" t="s">
        <v>1257</v>
      </c>
      <c r="BD1" s="44" t="s">
        <v>1258</v>
      </c>
      <c r="BE1" s="44" t="s">
        <v>1259</v>
      </c>
      <c r="BF1" s="44" t="s">
        <v>1260</v>
      </c>
      <c r="BG1" s="44" t="s">
        <v>1261</v>
      </c>
      <c r="BH1" s="44" t="s">
        <v>1262</v>
      </c>
      <c r="BI1" s="44" t="s">
        <v>1263</v>
      </c>
      <c r="BJ1" s="44" t="s">
        <v>1264</v>
      </c>
      <c r="BK1" s="44" t="s">
        <v>1265</v>
      </c>
      <c r="BL1" s="44" t="s">
        <v>1266</v>
      </c>
      <c r="BM1" s="44" t="s">
        <v>1267</v>
      </c>
      <c r="BN1" s="44" t="s">
        <v>1268</v>
      </c>
      <c r="BO1" s="44" t="s">
        <v>1269</v>
      </c>
      <c r="BP1" s="44" t="s">
        <v>1270</v>
      </c>
      <c r="BQ1" s="44" t="s">
        <v>1271</v>
      </c>
      <c r="BR1" s="44" t="s">
        <v>1272</v>
      </c>
      <c r="BS1" s="44" t="s">
        <v>1273</v>
      </c>
      <c r="BT1" s="44" t="s">
        <v>1274</v>
      </c>
      <c r="BU1" s="44" t="s">
        <v>1275</v>
      </c>
      <c r="BV1" s="44" t="s">
        <v>1276</v>
      </c>
      <c r="BW1" s="44" t="s">
        <v>1277</v>
      </c>
      <c r="BX1" s="44" t="s">
        <v>1278</v>
      </c>
      <c r="BY1" s="44" t="s">
        <v>1279</v>
      </c>
      <c r="BZ1" s="44" t="s">
        <v>1280</v>
      </c>
      <c r="CA1" s="44" t="s">
        <v>1281</v>
      </c>
      <c r="CB1" s="44" t="s">
        <v>1282</v>
      </c>
      <c r="CC1" s="44" t="s">
        <v>1283</v>
      </c>
      <c r="CD1" s="44" t="s">
        <v>1284</v>
      </c>
      <c r="CE1" s="44" t="s">
        <v>1285</v>
      </c>
      <c r="CF1" s="44" t="s">
        <v>1286</v>
      </c>
      <c r="CG1" s="44" t="s">
        <v>1287</v>
      </c>
      <c r="CH1" s="44" t="s">
        <v>1288</v>
      </c>
      <c r="CI1" s="44" t="s">
        <v>1289</v>
      </c>
      <c r="CJ1" s="44" t="s">
        <v>1290</v>
      </c>
      <c r="CK1" s="44" t="s">
        <v>1291</v>
      </c>
      <c r="CL1" s="44" t="s">
        <v>1292</v>
      </c>
    </row>
    <row r="2" spans="1:90" x14ac:dyDescent="0.25">
      <c r="A2">
        <v>452366</v>
      </c>
      <c r="B2" t="s">
        <v>69</v>
      </c>
      <c r="D2">
        <v>1741</v>
      </c>
      <c r="I2" s="42">
        <v>46014.446030092593</v>
      </c>
      <c r="J2" s="42">
        <v>46014.446053240739</v>
      </c>
    </row>
    <row r="3" spans="1:90" x14ac:dyDescent="0.25">
      <c r="A3">
        <v>280000</v>
      </c>
      <c r="B3" t="s">
        <v>1009</v>
      </c>
      <c r="D3">
        <v>2776</v>
      </c>
      <c r="I3" s="42">
        <v>46014.534085648149</v>
      </c>
      <c r="J3" s="42">
        <v>46014.534097222226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61153-88E9-4F0E-BF64-9628AC9B747E}">
  <sheetPr codeName="Sheet16"/>
  <dimension ref="A1:GR4"/>
  <sheetViews>
    <sheetView workbookViewId="0"/>
  </sheetViews>
  <sheetFormatPr defaultRowHeight="15" x14ac:dyDescent="0.25"/>
  <sheetData>
    <row r="1" spans="1:200" ht="20.100000000000001" customHeight="1" x14ac:dyDescent="0.25">
      <c r="A1" s="46" t="s">
        <v>680</v>
      </c>
      <c r="B1" s="46" t="s">
        <v>681</v>
      </c>
      <c r="C1" s="46" t="s">
        <v>1207</v>
      </c>
      <c r="D1" s="46" t="s">
        <v>8</v>
      </c>
      <c r="E1" s="46" t="s">
        <v>1304</v>
      </c>
      <c r="F1" s="46" t="s">
        <v>1208</v>
      </c>
      <c r="G1" s="46" t="s">
        <v>1209</v>
      </c>
      <c r="H1" s="46" t="s">
        <v>1210</v>
      </c>
      <c r="I1" s="46" t="s">
        <v>1211</v>
      </c>
      <c r="J1" s="46" t="s">
        <v>1305</v>
      </c>
      <c r="K1" s="46" t="s">
        <v>1306</v>
      </c>
      <c r="L1" s="46" t="s">
        <v>1074</v>
      </c>
      <c r="M1" s="46" t="s">
        <v>1212</v>
      </c>
      <c r="N1" s="46" t="s">
        <v>1307</v>
      </c>
      <c r="O1" s="46" t="s">
        <v>33</v>
      </c>
      <c r="P1" s="47" t="s">
        <v>1213</v>
      </c>
      <c r="Q1" s="47" t="s">
        <v>1214</v>
      </c>
      <c r="R1" s="47" t="s">
        <v>1215</v>
      </c>
      <c r="S1" s="47" t="s">
        <v>1216</v>
      </c>
      <c r="T1" s="47" t="s">
        <v>1308</v>
      </c>
      <c r="U1" s="47" t="s">
        <v>1217</v>
      </c>
      <c r="V1" s="47" t="s">
        <v>1218</v>
      </c>
      <c r="W1" s="47" t="s">
        <v>1219</v>
      </c>
      <c r="X1" s="47" t="s">
        <v>1309</v>
      </c>
      <c r="Y1" s="47" t="s">
        <v>1220</v>
      </c>
      <c r="Z1" s="47" t="s">
        <v>1310</v>
      </c>
      <c r="AA1" s="47" t="s">
        <v>1221</v>
      </c>
      <c r="AB1" s="47" t="s">
        <v>1222</v>
      </c>
      <c r="AC1" s="47" t="s">
        <v>1223</v>
      </c>
      <c r="AD1" s="47" t="s">
        <v>1224</v>
      </c>
      <c r="AE1" s="47" t="s">
        <v>1311</v>
      </c>
      <c r="AF1" s="47" t="s">
        <v>1312</v>
      </c>
      <c r="AG1" s="47" t="s">
        <v>1225</v>
      </c>
      <c r="AH1" s="47" t="s">
        <v>1226</v>
      </c>
      <c r="AI1" s="47" t="s">
        <v>1227</v>
      </c>
      <c r="AJ1" s="47" t="s">
        <v>1313</v>
      </c>
      <c r="AK1" s="47" t="s">
        <v>1314</v>
      </c>
      <c r="AL1" s="47" t="s">
        <v>1229</v>
      </c>
      <c r="AM1" s="47" t="s">
        <v>1230</v>
      </c>
      <c r="AN1" s="47" t="s">
        <v>1231</v>
      </c>
      <c r="AO1" s="47" t="s">
        <v>1315</v>
      </c>
      <c r="AP1" s="47" t="s">
        <v>1316</v>
      </c>
      <c r="AQ1" s="48" t="s">
        <v>1233</v>
      </c>
      <c r="AR1" s="48" t="s">
        <v>1234</v>
      </c>
      <c r="AS1" s="48" t="s">
        <v>1235</v>
      </c>
      <c r="AT1" s="48" t="s">
        <v>1236</v>
      </c>
      <c r="AU1" s="48" t="s">
        <v>1237</v>
      </c>
      <c r="AV1" s="48" t="s">
        <v>1238</v>
      </c>
      <c r="AW1" s="48" t="s">
        <v>1239</v>
      </c>
      <c r="AX1" s="48" t="s">
        <v>1240</v>
      </c>
      <c r="AY1" s="48" t="s">
        <v>1241</v>
      </c>
      <c r="AZ1" s="48" t="s">
        <v>1242</v>
      </c>
      <c r="BA1" s="48" t="s">
        <v>1243</v>
      </c>
      <c r="BB1" s="48" t="s">
        <v>1244</v>
      </c>
      <c r="BC1" s="48" t="s">
        <v>1317</v>
      </c>
      <c r="BD1" s="48" t="s">
        <v>1318</v>
      </c>
      <c r="BE1" s="48" t="s">
        <v>1319</v>
      </c>
      <c r="BF1" s="48" t="s">
        <v>1320</v>
      </c>
      <c r="BG1" s="48" t="s">
        <v>1321</v>
      </c>
      <c r="BH1" s="48" t="s">
        <v>1322</v>
      </c>
      <c r="BI1" s="48" t="s">
        <v>1323</v>
      </c>
      <c r="BJ1" s="48" t="s">
        <v>1324</v>
      </c>
      <c r="BK1" s="48" t="s">
        <v>1325</v>
      </c>
      <c r="BL1" s="48" t="s">
        <v>1326</v>
      </c>
      <c r="BM1" s="48" t="s">
        <v>1327</v>
      </c>
      <c r="BN1" s="48" t="s">
        <v>1328</v>
      </c>
      <c r="BO1" s="49" t="s">
        <v>1245</v>
      </c>
      <c r="BP1" s="49" t="s">
        <v>1246</v>
      </c>
      <c r="BQ1" s="49" t="s">
        <v>1329</v>
      </c>
      <c r="BR1" s="49" t="s">
        <v>1247</v>
      </c>
      <c r="BS1" s="49" t="s">
        <v>1248</v>
      </c>
      <c r="BT1" s="49" t="s">
        <v>1330</v>
      </c>
      <c r="BU1" s="49" t="s">
        <v>1249</v>
      </c>
      <c r="BV1" s="49" t="s">
        <v>1250</v>
      </c>
      <c r="BW1" s="49" t="s">
        <v>1253</v>
      </c>
      <c r="BX1" s="49" t="s">
        <v>1252</v>
      </c>
      <c r="BY1" s="49" t="s">
        <v>1251</v>
      </c>
      <c r="BZ1" s="49" t="s">
        <v>1331</v>
      </c>
      <c r="CA1" s="49" t="s">
        <v>1332</v>
      </c>
      <c r="CB1" s="49" t="s">
        <v>1333</v>
      </c>
      <c r="CC1" s="49" t="s">
        <v>1254</v>
      </c>
      <c r="CD1" s="49" t="s">
        <v>1255</v>
      </c>
      <c r="CE1" s="49" t="s">
        <v>1256</v>
      </c>
      <c r="CF1" s="49" t="s">
        <v>1257</v>
      </c>
      <c r="CG1" s="49" t="s">
        <v>1334</v>
      </c>
      <c r="CH1" s="49" t="s">
        <v>1258</v>
      </c>
      <c r="CI1" s="49" t="s">
        <v>1259</v>
      </c>
      <c r="CJ1" s="49" t="s">
        <v>1260</v>
      </c>
      <c r="CK1" s="49" t="s">
        <v>1261</v>
      </c>
      <c r="CL1" s="49" t="s">
        <v>1335</v>
      </c>
      <c r="CM1" s="49" t="s">
        <v>1262</v>
      </c>
      <c r="CN1" s="49" t="s">
        <v>1263</v>
      </c>
      <c r="CO1" s="49" t="s">
        <v>1264</v>
      </c>
      <c r="CP1" s="49" t="s">
        <v>1265</v>
      </c>
      <c r="CQ1" s="49" t="s">
        <v>1336</v>
      </c>
      <c r="CR1" s="49" t="s">
        <v>1266</v>
      </c>
      <c r="CS1" s="49" t="s">
        <v>1267</v>
      </c>
      <c r="CT1" s="49" t="s">
        <v>1337</v>
      </c>
      <c r="CU1" s="49" t="s">
        <v>1268</v>
      </c>
      <c r="CV1" s="49" t="s">
        <v>1338</v>
      </c>
      <c r="CW1" s="49" t="s">
        <v>1269</v>
      </c>
      <c r="CX1" s="49" t="s">
        <v>1270</v>
      </c>
      <c r="CY1" s="49" t="s">
        <v>1339</v>
      </c>
      <c r="CZ1" s="49" t="s">
        <v>1271</v>
      </c>
      <c r="DA1" s="49" t="s">
        <v>1340</v>
      </c>
      <c r="DB1" s="49" t="s">
        <v>1341</v>
      </c>
      <c r="DC1" s="49" t="s">
        <v>1342</v>
      </c>
      <c r="DD1" s="49" t="s">
        <v>1343</v>
      </c>
      <c r="DE1" s="49" t="s">
        <v>1344</v>
      </c>
      <c r="DF1" s="49" t="s">
        <v>1345</v>
      </c>
      <c r="DG1" s="50" t="s">
        <v>1272</v>
      </c>
      <c r="DH1" s="50" t="s">
        <v>1273</v>
      </c>
      <c r="DI1" s="50" t="s">
        <v>1274</v>
      </c>
      <c r="DJ1" s="50" t="s">
        <v>1275</v>
      </c>
      <c r="DK1" s="50" t="s">
        <v>1346</v>
      </c>
      <c r="DL1" s="50" t="s">
        <v>1347</v>
      </c>
      <c r="DM1" s="50" t="s">
        <v>1348</v>
      </c>
      <c r="DN1" s="50" t="s">
        <v>1349</v>
      </c>
      <c r="DO1" s="50" t="s">
        <v>1350</v>
      </c>
      <c r="DP1" s="50" t="s">
        <v>1351</v>
      </c>
      <c r="DQ1" s="50" t="s">
        <v>1352</v>
      </c>
      <c r="DR1" s="50" t="s">
        <v>1353</v>
      </c>
      <c r="DS1" s="50" t="s">
        <v>1354</v>
      </c>
      <c r="DT1" s="50" t="s">
        <v>1355</v>
      </c>
      <c r="DU1" s="50" t="s">
        <v>1356</v>
      </c>
      <c r="DV1" s="50" t="s">
        <v>1280</v>
      </c>
      <c r="DW1" s="50" t="s">
        <v>1281</v>
      </c>
      <c r="DX1" s="50" t="s">
        <v>1282</v>
      </c>
      <c r="DY1" s="50" t="s">
        <v>1283</v>
      </c>
      <c r="DZ1" s="50" t="s">
        <v>1357</v>
      </c>
      <c r="EA1" s="50" t="s">
        <v>1358</v>
      </c>
      <c r="EB1" s="50" t="s">
        <v>1359</v>
      </c>
      <c r="EC1" s="50" t="s">
        <v>1360</v>
      </c>
      <c r="ED1" s="50" t="s">
        <v>1361</v>
      </c>
      <c r="EE1" s="50" t="s">
        <v>1362</v>
      </c>
      <c r="EF1" s="50" t="s">
        <v>1363</v>
      </c>
      <c r="EG1" s="51" t="s">
        <v>1364</v>
      </c>
      <c r="EH1" s="51" t="s">
        <v>1365</v>
      </c>
      <c r="EI1" s="51" t="s">
        <v>1366</v>
      </c>
      <c r="EJ1" s="51" t="s">
        <v>1367</v>
      </c>
      <c r="EK1" s="51" t="s">
        <v>1368</v>
      </c>
      <c r="EL1" s="51" t="s">
        <v>1369</v>
      </c>
      <c r="EM1" s="51" t="s">
        <v>1370</v>
      </c>
      <c r="EN1" s="51" t="s">
        <v>1371</v>
      </c>
      <c r="EO1" s="51" t="s">
        <v>1372</v>
      </c>
      <c r="EP1" s="51" t="s">
        <v>1373</v>
      </c>
      <c r="EQ1" s="51" t="s">
        <v>1374</v>
      </c>
      <c r="ER1" s="51" t="s">
        <v>1375</v>
      </c>
      <c r="ES1" s="51" t="s">
        <v>1376</v>
      </c>
      <c r="ET1" s="51" t="s">
        <v>1377</v>
      </c>
      <c r="EU1" s="51" t="s">
        <v>1378</v>
      </c>
      <c r="EV1" s="51" t="s">
        <v>1379</v>
      </c>
      <c r="EW1" s="51" t="s">
        <v>1380</v>
      </c>
      <c r="EX1" s="51" t="s">
        <v>1381</v>
      </c>
      <c r="EY1" s="51" t="s">
        <v>1382</v>
      </c>
      <c r="EZ1" s="51" t="s">
        <v>1383</v>
      </c>
      <c r="FA1" s="51" t="s">
        <v>1384</v>
      </c>
      <c r="FB1" s="51" t="s">
        <v>1385</v>
      </c>
      <c r="FC1" s="51" t="s">
        <v>1386</v>
      </c>
      <c r="FD1" s="51" t="s">
        <v>1387</v>
      </c>
      <c r="FE1" s="52" t="s">
        <v>1388</v>
      </c>
      <c r="FF1" s="52" t="s">
        <v>1389</v>
      </c>
      <c r="FG1" s="52" t="s">
        <v>1390</v>
      </c>
      <c r="FH1" s="52" t="s">
        <v>1391</v>
      </c>
      <c r="FI1" s="52" t="s">
        <v>1392</v>
      </c>
      <c r="FJ1" s="52" t="s">
        <v>1288</v>
      </c>
      <c r="FK1" s="52" t="s">
        <v>1289</v>
      </c>
      <c r="FL1" s="52" t="s">
        <v>1393</v>
      </c>
      <c r="FM1" s="52" t="s">
        <v>1394</v>
      </c>
      <c r="FN1" s="52" t="s">
        <v>1395</v>
      </c>
      <c r="FO1" s="52" t="s">
        <v>1396</v>
      </c>
      <c r="FP1" s="52" t="s">
        <v>1397</v>
      </c>
      <c r="FQ1" s="52" t="s">
        <v>1398</v>
      </c>
      <c r="FR1" s="52" t="s">
        <v>1399</v>
      </c>
      <c r="FS1" s="52" t="s">
        <v>1400</v>
      </c>
      <c r="FT1" s="52" t="s">
        <v>1401</v>
      </c>
      <c r="FU1" s="52" t="s">
        <v>1402</v>
      </c>
      <c r="FV1" s="52" t="s">
        <v>1403</v>
      </c>
      <c r="FW1" s="52" t="s">
        <v>1404</v>
      </c>
      <c r="FX1" s="52" t="s">
        <v>1405</v>
      </c>
      <c r="FY1" s="53" t="s">
        <v>1406</v>
      </c>
      <c r="FZ1" s="53" t="s">
        <v>1407</v>
      </c>
      <c r="GA1" s="53" t="s">
        <v>1408</v>
      </c>
      <c r="GB1" s="53" t="s">
        <v>1409</v>
      </c>
      <c r="GC1" s="53" t="s">
        <v>1410</v>
      </c>
      <c r="GD1" s="53" t="s">
        <v>1411</v>
      </c>
      <c r="GE1" s="53" t="s">
        <v>1412</v>
      </c>
      <c r="GF1" s="53" t="s">
        <v>1413</v>
      </c>
      <c r="GG1" s="53" t="s">
        <v>1414</v>
      </c>
      <c r="GH1" s="53" t="s">
        <v>1415</v>
      </c>
      <c r="GI1" s="53" t="s">
        <v>1416</v>
      </c>
      <c r="GJ1" s="53" t="s">
        <v>1290</v>
      </c>
      <c r="GK1" s="53" t="s">
        <v>1291</v>
      </c>
      <c r="GL1" s="53" t="s">
        <v>1292</v>
      </c>
      <c r="GM1" s="53" t="s">
        <v>1417</v>
      </c>
      <c r="GN1" s="53" t="s">
        <v>1418</v>
      </c>
      <c r="GO1" s="53" t="s">
        <v>1419</v>
      </c>
      <c r="GP1" s="53" t="s">
        <v>1420</v>
      </c>
      <c r="GQ1" s="53" t="s">
        <v>1421</v>
      </c>
      <c r="GR1" s="53" t="s">
        <v>1422</v>
      </c>
    </row>
    <row r="2" spans="1:200" x14ac:dyDescent="0.25">
      <c r="A2">
        <v>114748</v>
      </c>
      <c r="B2" t="s">
        <v>1477</v>
      </c>
      <c r="F2" t="s">
        <v>1486</v>
      </c>
      <c r="G2" t="s">
        <v>1487</v>
      </c>
      <c r="H2" s="4">
        <v>45759</v>
      </c>
      <c r="I2" t="s">
        <v>692</v>
      </c>
      <c r="L2" s="42">
        <v>46022.597766203704</v>
      </c>
      <c r="M2" s="42">
        <v>46024.365763888891</v>
      </c>
      <c r="N2" t="s">
        <v>626</v>
      </c>
      <c r="P2">
        <v>505559</v>
      </c>
      <c r="Q2" t="s">
        <v>1490</v>
      </c>
      <c r="R2" t="s">
        <v>1484</v>
      </c>
      <c r="U2" t="s">
        <v>1481</v>
      </c>
      <c r="V2" t="s">
        <v>1488</v>
      </c>
      <c r="W2" t="s">
        <v>1482</v>
      </c>
      <c r="AA2" t="s">
        <v>1483</v>
      </c>
      <c r="AB2" t="s">
        <v>1489</v>
      </c>
      <c r="AC2" s="4">
        <v>49284</v>
      </c>
      <c r="AI2" s="4">
        <v>49284</v>
      </c>
      <c r="AN2" t="s">
        <v>692</v>
      </c>
      <c r="AQ2" t="s">
        <v>1491</v>
      </c>
      <c r="AR2" t="s">
        <v>1492</v>
      </c>
      <c r="AS2">
        <v>100</v>
      </c>
      <c r="AT2" t="s">
        <v>1493</v>
      </c>
      <c r="BU2" t="s">
        <v>1429</v>
      </c>
      <c r="BV2">
        <v>12</v>
      </c>
      <c r="DQ2" t="s">
        <v>1494</v>
      </c>
      <c r="DV2" s="55">
        <v>3240000</v>
      </c>
    </row>
    <row r="3" spans="1:200" x14ac:dyDescent="0.25">
      <c r="A3">
        <v>451657</v>
      </c>
      <c r="B3" t="s">
        <v>1131</v>
      </c>
      <c r="C3" t="s">
        <v>11</v>
      </c>
      <c r="D3">
        <v>1741</v>
      </c>
      <c r="F3" t="s">
        <v>1504</v>
      </c>
      <c r="G3" t="s">
        <v>1487</v>
      </c>
      <c r="H3" t="s">
        <v>1480</v>
      </c>
      <c r="I3" t="s">
        <v>692</v>
      </c>
      <c r="L3" s="42">
        <v>46025.453773148147</v>
      </c>
      <c r="M3" s="42">
        <v>46027.382013888891</v>
      </c>
      <c r="N3" t="s">
        <v>626</v>
      </c>
      <c r="P3">
        <v>1120399</v>
      </c>
      <c r="R3" t="s">
        <v>1502</v>
      </c>
      <c r="U3" t="s">
        <v>1499</v>
      </c>
      <c r="W3" t="s">
        <v>1500</v>
      </c>
      <c r="AA3">
        <v>784198454287289</v>
      </c>
      <c r="AC3" t="s">
        <v>1501</v>
      </c>
      <c r="AI3" t="s">
        <v>1501</v>
      </c>
      <c r="AN3" t="s">
        <v>692</v>
      </c>
      <c r="AQ3" t="s">
        <v>1505</v>
      </c>
      <c r="AR3" t="s">
        <v>1506</v>
      </c>
      <c r="AS3">
        <v>100</v>
      </c>
      <c r="BO3" t="s">
        <v>1134</v>
      </c>
      <c r="BR3" t="s">
        <v>1503</v>
      </c>
      <c r="FJ3" t="s">
        <v>705</v>
      </c>
    </row>
    <row r="4" spans="1:200" x14ac:dyDescent="0.25">
      <c r="A4">
        <v>218434</v>
      </c>
      <c r="B4" t="s">
        <v>1507</v>
      </c>
      <c r="C4" t="s">
        <v>622</v>
      </c>
      <c r="D4">
        <v>2533</v>
      </c>
      <c r="L4" s="42">
        <v>46031.486400462964</v>
      </c>
      <c r="M4" s="42">
        <v>46032.415243055555</v>
      </c>
      <c r="N4" t="s">
        <v>626</v>
      </c>
      <c r="U4" t="s">
        <v>1527</v>
      </c>
      <c r="W4" t="s">
        <v>1528</v>
      </c>
      <c r="AA4" t="s">
        <v>1529</v>
      </c>
      <c r="AC4" s="4">
        <v>46638</v>
      </c>
      <c r="AI4" s="4">
        <v>46638</v>
      </c>
      <c r="BU4" t="s">
        <v>1509</v>
      </c>
      <c r="EG4" t="s">
        <v>705</v>
      </c>
      <c r="FJ4" t="s">
        <v>705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107D-39C2-4745-BBDF-ABD23F681BC3}">
  <sheetPr codeName="Sheet17"/>
  <dimension ref="A1:J1"/>
  <sheetViews>
    <sheetView workbookViewId="0">
      <selection activeCell="J27" sqref="J27"/>
    </sheetView>
  </sheetViews>
  <sheetFormatPr defaultRowHeight="15" x14ac:dyDescent="0.25"/>
  <sheetData>
    <row r="1" spans="1:10" x14ac:dyDescent="0.25">
      <c r="A1" s="45" t="s">
        <v>1423</v>
      </c>
      <c r="B1" s="45" t="s">
        <v>680</v>
      </c>
      <c r="C1" s="45" t="s">
        <v>1070</v>
      </c>
      <c r="D1" s="45" t="s">
        <v>9</v>
      </c>
      <c r="E1" s="45" t="s">
        <v>1424</v>
      </c>
      <c r="F1" s="45" t="s">
        <v>1425</v>
      </c>
      <c r="G1" s="45" t="s">
        <v>32</v>
      </c>
      <c r="H1" s="45" t="s">
        <v>1074</v>
      </c>
      <c r="I1" s="45" t="s">
        <v>1073</v>
      </c>
      <c r="J1" s="45" t="s">
        <v>1426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_Connection</vt:lpstr>
      <vt:lpstr>Customers</vt:lpstr>
      <vt:lpstr>Profile</vt:lpstr>
      <vt:lpstr>Journal</vt:lpstr>
      <vt:lpstr>Securities</vt:lpstr>
      <vt:lpstr>SecuritiesPrint</vt:lpstr>
      <vt:lpstr>Settings</vt:lpstr>
      <vt:lpstr>Guarantors</vt:lpstr>
      <vt:lpstr>CustomTasks</vt:lpstr>
      <vt:lpstr>Facilities</vt:lpstr>
      <vt:lpstr>GeneralProfiles</vt:lpstr>
      <vt:lpstr>GeneralChecklists</vt:lpstr>
      <vt:lpstr>GeneralChecklistItems</vt:lpstr>
      <vt:lpstr>Attachments</vt:lpstr>
      <vt:lpstr>CustomerProfileData</vt:lpstr>
      <vt:lpstr>CustomerProfile</vt:lpstr>
      <vt:lpstr>CustomerNotes</vt:lpstr>
      <vt:lpstr>SecuritiesPrint!Print_Area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Mahdi Ghandi</cp:lastModifiedBy>
  <cp:lastPrinted>2026-01-10T06:13:39Z</cp:lastPrinted>
  <dcterms:created xsi:type="dcterms:W3CDTF">2025-12-10T04:26:51Z</dcterms:created>
  <dcterms:modified xsi:type="dcterms:W3CDTF">2026-01-10T07:01:05Z</dcterms:modified>
</cp:coreProperties>
</file>
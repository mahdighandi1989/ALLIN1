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Correspondence\Mahdi Ghandi\DOCS-DATA-APP\"/>
    </mc:Choice>
  </mc:AlternateContent>
  <xr:revisionPtr revIDLastSave="0" documentId="13_ncr:1_{125B22E8-AEAC-49B3-9A0C-A6EE11509CBA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IRAN" sheetId="1" r:id="rId1"/>
  </sheets>
  <definedNames>
    <definedName name="_xlnm._FilterDatabase" localSheetId="0" hidden="1">IRAN!$A$1:$S$266</definedName>
    <definedName name="_xlnm.Print_Titles" localSheetId="0">IRAN!$1:$1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1" l="1"/>
  <c r="N7" i="1"/>
  <c r="N6" i="1"/>
  <c r="N3" i="1"/>
  <c r="N4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8" i="1"/>
  <c r="N29" i="1"/>
  <c r="N30" i="1"/>
  <c r="N31" i="1"/>
  <c r="N33" i="1"/>
  <c r="N36" i="1"/>
  <c r="N37" i="1"/>
  <c r="N38" i="1"/>
  <c r="N39" i="1"/>
  <c r="N40" i="1"/>
  <c r="N41" i="1"/>
  <c r="N42" i="1"/>
  <c r="N43" i="1"/>
  <c r="N51" i="1"/>
  <c r="N52" i="1"/>
  <c r="N53" i="1"/>
  <c r="N54" i="1"/>
  <c r="N55" i="1"/>
  <c r="N56" i="1"/>
  <c r="N57" i="1"/>
  <c r="N58" i="1"/>
  <c r="N59" i="1"/>
  <c r="N60" i="1"/>
  <c r="N68" i="1"/>
  <c r="N69" i="1"/>
  <c r="N70" i="1"/>
  <c r="N71" i="1"/>
  <c r="N73" i="1"/>
  <c r="N74" i="1"/>
  <c r="N75" i="1"/>
  <c r="N76" i="1"/>
  <c r="N77" i="1"/>
  <c r="N78" i="1"/>
  <c r="N82" i="1"/>
  <c r="N85" i="1"/>
  <c r="N87" i="1"/>
  <c r="N112" i="1"/>
  <c r="N122" i="1"/>
  <c r="N123" i="1"/>
  <c r="N124" i="1"/>
  <c r="N125" i="1"/>
  <c r="N134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2" i="1"/>
  <c r="N153" i="1"/>
  <c r="N154" i="1"/>
  <c r="N157" i="1"/>
  <c r="N158" i="1"/>
  <c r="N159" i="1"/>
  <c r="N160" i="1"/>
  <c r="N161" i="1"/>
  <c r="N162" i="1"/>
  <c r="N164" i="1"/>
  <c r="N163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9" i="1"/>
  <c r="N180" i="1"/>
  <c r="N182" i="1"/>
  <c r="N183" i="1"/>
  <c r="N184" i="1"/>
  <c r="N185" i="1"/>
  <c r="N186" i="1"/>
  <c r="N187" i="1"/>
  <c r="N188" i="1"/>
  <c r="N189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25" i="1"/>
  <c r="N234" i="1"/>
  <c r="N235" i="1"/>
  <c r="N236" i="1"/>
  <c r="N237" i="1"/>
  <c r="N241" i="1"/>
  <c r="N243" i="1"/>
  <c r="N244" i="1"/>
  <c r="N246" i="1"/>
  <c r="N245" i="1"/>
  <c r="N253" i="1"/>
  <c r="N259" i="1"/>
  <c r="N260" i="1"/>
  <c r="N266" i="1"/>
  <c r="N5" i="1"/>
  <c r="N8" i="1"/>
  <c r="N25" i="1"/>
  <c r="N26" i="1"/>
  <c r="N27" i="1"/>
  <c r="N32" i="1"/>
  <c r="N35" i="1"/>
  <c r="N34" i="1"/>
  <c r="N46" i="1"/>
  <c r="N44" i="1"/>
  <c r="N45" i="1"/>
  <c r="N47" i="1"/>
  <c r="N48" i="1"/>
  <c r="N49" i="1"/>
  <c r="N50" i="1"/>
  <c r="N61" i="1"/>
  <c r="N62" i="1"/>
  <c r="N63" i="1"/>
  <c r="N64" i="1"/>
  <c r="N65" i="1"/>
  <c r="N66" i="1"/>
  <c r="N67" i="1"/>
  <c r="N72" i="1"/>
  <c r="N79" i="1"/>
  <c r="N80" i="1"/>
  <c r="N81" i="1"/>
  <c r="N83" i="1"/>
  <c r="N84" i="1"/>
  <c r="N86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3" i="1"/>
  <c r="N114" i="1"/>
  <c r="N115" i="1"/>
  <c r="N116" i="1"/>
  <c r="N117" i="1"/>
  <c r="N118" i="1"/>
  <c r="N119" i="1"/>
  <c r="N120" i="1"/>
  <c r="N121" i="1"/>
  <c r="N126" i="1"/>
  <c r="N127" i="1"/>
  <c r="N128" i="1"/>
  <c r="N129" i="1"/>
  <c r="N130" i="1"/>
  <c r="N131" i="1"/>
  <c r="N132" i="1"/>
  <c r="N133" i="1"/>
  <c r="N135" i="1"/>
  <c r="N136" i="1"/>
  <c r="N137" i="1"/>
  <c r="N150" i="1"/>
  <c r="N151" i="1"/>
  <c r="N155" i="1"/>
  <c r="N156" i="1"/>
  <c r="N178" i="1"/>
  <c r="N181" i="1"/>
  <c r="N190" i="1"/>
  <c r="N191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6" i="1"/>
  <c r="N227" i="1"/>
  <c r="N228" i="1"/>
  <c r="N229" i="1"/>
  <c r="N230" i="1"/>
  <c r="N231" i="1"/>
  <c r="N232" i="1"/>
  <c r="N233" i="1"/>
  <c r="N238" i="1"/>
  <c r="N239" i="1"/>
  <c r="N240" i="1"/>
  <c r="N242" i="1"/>
  <c r="N247" i="1"/>
  <c r="N248" i="1"/>
  <c r="N249" i="1"/>
  <c r="N250" i="1"/>
  <c r="N251" i="1"/>
  <c r="N252" i="1"/>
  <c r="N254" i="1"/>
  <c r="N255" i="1"/>
  <c r="N256" i="1"/>
  <c r="N257" i="1"/>
  <c r="N258" i="1"/>
  <c r="N261" i="1"/>
  <c r="N262" i="1"/>
  <c r="N263" i="1"/>
  <c r="N264" i="1"/>
  <c r="N265" i="1"/>
  <c r="N2" i="1"/>
</calcChain>
</file>

<file path=xl/sharedStrings.xml><?xml version="1.0" encoding="utf-8"?>
<sst xmlns="http://schemas.openxmlformats.org/spreadsheetml/2006/main" count="1762" uniqueCount="945">
  <si>
    <t>1</t>
  </si>
  <si>
    <t>PETROPOL     ENTERPRISE</t>
  </si>
  <si>
    <t>2</t>
  </si>
  <si>
    <t>-</t>
  </si>
  <si>
    <t>3</t>
  </si>
  <si>
    <t xml:space="preserve">SILICON  TECHNO  SYSTEM </t>
  </si>
  <si>
    <t>3384/47</t>
  </si>
  <si>
    <t>4</t>
  </si>
  <si>
    <t>3384/279</t>
  </si>
  <si>
    <t>5</t>
  </si>
  <si>
    <t>6</t>
  </si>
  <si>
    <t>7</t>
  </si>
  <si>
    <t>8</t>
  </si>
  <si>
    <t>GOLDEN BOX</t>
  </si>
  <si>
    <t>90/1</t>
  </si>
  <si>
    <t>9</t>
  </si>
  <si>
    <t>GREEN SAHAND</t>
  </si>
  <si>
    <t>43/5120</t>
  </si>
  <si>
    <t>10</t>
  </si>
  <si>
    <t>11</t>
  </si>
  <si>
    <t>12</t>
  </si>
  <si>
    <t>13</t>
  </si>
  <si>
    <t xml:space="preserve">GOLESTAN   INT'L   G  TRD </t>
  </si>
  <si>
    <t>6933/84992</t>
  </si>
  <si>
    <t>14</t>
  </si>
  <si>
    <t>6933/84993</t>
  </si>
  <si>
    <t>15</t>
  </si>
  <si>
    <t>HILTON  CORP    INT'L</t>
  </si>
  <si>
    <t>90/3230-199-162-157-160 -158-159-161</t>
  </si>
  <si>
    <t>16</t>
  </si>
  <si>
    <t xml:space="preserve">TOLOO  INT'L CONTRACTING  </t>
  </si>
  <si>
    <t>2395/43501</t>
  </si>
  <si>
    <t>17</t>
  </si>
  <si>
    <t xml:space="preserve">MAQSAD   INT'L GEN   TRDG </t>
  </si>
  <si>
    <t>2395&amp;125/111490</t>
  </si>
  <si>
    <t>18</t>
  </si>
  <si>
    <t>118/692</t>
  </si>
  <si>
    <t>19</t>
  </si>
  <si>
    <t>2047/375</t>
  </si>
  <si>
    <t>20</t>
  </si>
  <si>
    <t>PARS     STAR      - LLC</t>
  </si>
  <si>
    <t>3388/73</t>
  </si>
  <si>
    <t>21</t>
  </si>
  <si>
    <t>3388/74</t>
  </si>
  <si>
    <t>22</t>
  </si>
  <si>
    <t>3388/75</t>
  </si>
  <si>
    <t>23</t>
  </si>
  <si>
    <t>3388/76</t>
  </si>
  <si>
    <t>24</t>
  </si>
  <si>
    <t xml:space="preserve">GOLDEN  ASIA   GEN  TRDG </t>
  </si>
  <si>
    <t>37/745</t>
  </si>
  <si>
    <t>25</t>
  </si>
  <si>
    <t>SONDOS IND</t>
  </si>
  <si>
    <t>35/8917</t>
  </si>
  <si>
    <t>26</t>
  </si>
  <si>
    <t>A  T   C        GEN  TRDG</t>
  </si>
  <si>
    <t>6933/718</t>
  </si>
  <si>
    <t>27</t>
  </si>
  <si>
    <t xml:space="preserve">M   R   M     TRADING </t>
  </si>
  <si>
    <t>1187-1188-1189-1192</t>
  </si>
  <si>
    <t>28</t>
  </si>
  <si>
    <t>4301-21</t>
  </si>
  <si>
    <t>29</t>
  </si>
  <si>
    <t xml:space="preserve">TUFAN   AL-BAHAR   </t>
  </si>
  <si>
    <t>3375/154</t>
  </si>
  <si>
    <t>30</t>
  </si>
  <si>
    <t xml:space="preserve">M. B . G        TRADING </t>
  </si>
  <si>
    <t>3646-3645</t>
  </si>
  <si>
    <t>31</t>
  </si>
  <si>
    <t>PANIZ     G     TRADING</t>
  </si>
  <si>
    <t>32</t>
  </si>
  <si>
    <t>3765/890</t>
  </si>
  <si>
    <t>33</t>
  </si>
  <si>
    <t>3765/892</t>
  </si>
  <si>
    <t>34</t>
  </si>
  <si>
    <t>3765/894</t>
  </si>
  <si>
    <t>35</t>
  </si>
  <si>
    <t>PEDEX  GERMANY  G.T.</t>
  </si>
  <si>
    <t>3200/4,6</t>
  </si>
  <si>
    <t>36</t>
  </si>
  <si>
    <t>EAST   TOP     TRDG</t>
  </si>
  <si>
    <t>2/27785</t>
  </si>
  <si>
    <t>37</t>
  </si>
  <si>
    <t>124/21294</t>
  </si>
  <si>
    <t>38</t>
  </si>
  <si>
    <t xml:space="preserve">CHEMICAL     WAYS      </t>
  </si>
  <si>
    <t>28/2280</t>
  </si>
  <si>
    <t>39</t>
  </si>
  <si>
    <t>BORHAN G.T</t>
  </si>
  <si>
    <t>70/30655</t>
  </si>
  <si>
    <t>40</t>
  </si>
  <si>
    <t>70/24314</t>
  </si>
  <si>
    <t>41</t>
  </si>
  <si>
    <t>70/30656</t>
  </si>
  <si>
    <t>42</t>
  </si>
  <si>
    <t>70/30657</t>
  </si>
  <si>
    <t>43</t>
  </si>
  <si>
    <t>3384/278</t>
  </si>
  <si>
    <t>44</t>
  </si>
  <si>
    <t xml:space="preserve">SIRJANCO </t>
  </si>
  <si>
    <t>125/27155</t>
  </si>
  <si>
    <t>45</t>
  </si>
  <si>
    <t>125/27156</t>
  </si>
  <si>
    <t>46</t>
  </si>
  <si>
    <t>125/27157</t>
  </si>
  <si>
    <t>47</t>
  </si>
  <si>
    <t>125/27158</t>
  </si>
  <si>
    <t>48</t>
  </si>
  <si>
    <t>125/27159</t>
  </si>
  <si>
    <t>51</t>
  </si>
  <si>
    <t>WORLDSTAR TRADING (L.L.C)</t>
  </si>
  <si>
    <t>37/10188</t>
  </si>
  <si>
    <t>52</t>
  </si>
  <si>
    <t>37/9937</t>
  </si>
  <si>
    <t>53</t>
  </si>
  <si>
    <t xml:space="preserve">RED STONE GEN </t>
  </si>
  <si>
    <t>33/5117</t>
  </si>
  <si>
    <t>54</t>
  </si>
  <si>
    <t>MARVAST TRDING</t>
  </si>
  <si>
    <t>6933/31464</t>
  </si>
  <si>
    <t>55</t>
  </si>
  <si>
    <t>6933/32161</t>
  </si>
  <si>
    <t>56</t>
  </si>
  <si>
    <t>AL BALQAA TRADING</t>
  </si>
  <si>
    <t>6933/48554,55</t>
  </si>
  <si>
    <t>57</t>
  </si>
  <si>
    <t>35/11972</t>
  </si>
  <si>
    <t>58</t>
  </si>
  <si>
    <t>HONEY MOON GEN TRDG</t>
  </si>
  <si>
    <t>59</t>
  </si>
  <si>
    <t>SAMA LIBERTY GEN TR</t>
  </si>
  <si>
    <t>37/10165</t>
  </si>
  <si>
    <t>60</t>
  </si>
  <si>
    <t>KLAXON GULF GEN TR</t>
  </si>
  <si>
    <t>28/2159 (28/3370 to 78)</t>
  </si>
  <si>
    <t>61</t>
  </si>
  <si>
    <t>GREAT PACIFIC</t>
  </si>
  <si>
    <t>37/11573</t>
  </si>
  <si>
    <t>62</t>
  </si>
  <si>
    <t>35/2154</t>
  </si>
  <si>
    <t>63</t>
  </si>
  <si>
    <t>44/45/7446</t>
  </si>
  <si>
    <t>64</t>
  </si>
  <si>
    <t>F &amp; S General TRADING</t>
  </si>
  <si>
    <t>36/2842</t>
  </si>
  <si>
    <t>65</t>
  </si>
  <si>
    <t>SUNNY LAND G T</t>
  </si>
  <si>
    <t>3607/5</t>
  </si>
  <si>
    <t>66</t>
  </si>
  <si>
    <t>FINALLY BUSINESS</t>
  </si>
  <si>
    <t>42/846</t>
  </si>
  <si>
    <t>67</t>
  </si>
  <si>
    <t>SHAHBAR TRADING CO</t>
  </si>
  <si>
    <t>6933/76</t>
  </si>
  <si>
    <t>68</t>
  </si>
  <si>
    <t>6933/73732</t>
  </si>
  <si>
    <t>69</t>
  </si>
  <si>
    <t>70</t>
  </si>
  <si>
    <t>71</t>
  </si>
  <si>
    <t>72</t>
  </si>
  <si>
    <t>73</t>
  </si>
  <si>
    <t>6933/73726</t>
  </si>
  <si>
    <t>74</t>
  </si>
  <si>
    <t>6933/73728</t>
  </si>
  <si>
    <t>75</t>
  </si>
  <si>
    <t>6933/73722</t>
  </si>
  <si>
    <t>76</t>
  </si>
  <si>
    <t>77</t>
  </si>
  <si>
    <t>78</t>
  </si>
  <si>
    <t>6933/73725</t>
  </si>
  <si>
    <t>80</t>
  </si>
  <si>
    <t>GREEN PEARL GENERAL TRADING (L.L.C)</t>
  </si>
  <si>
    <t>81</t>
  </si>
  <si>
    <t>BLUES INTERNATIONAL TRADING (LLC)</t>
  </si>
  <si>
    <t>118/14304</t>
  </si>
  <si>
    <t>82</t>
  </si>
  <si>
    <t>83</t>
  </si>
  <si>
    <t>B.P.COMPUTER CO.</t>
  </si>
  <si>
    <t>84</t>
  </si>
  <si>
    <t>85</t>
  </si>
  <si>
    <t>86</t>
  </si>
  <si>
    <t>TABAR TRADING CO LLC</t>
  </si>
  <si>
    <t>3762/43</t>
  </si>
  <si>
    <t>87</t>
  </si>
  <si>
    <t>FALLS GENERAL TRADING</t>
  </si>
  <si>
    <t>20/1213</t>
  </si>
  <si>
    <t>88</t>
  </si>
  <si>
    <t>116/43946</t>
  </si>
  <si>
    <t>89</t>
  </si>
  <si>
    <t>C.B.C MEDICAL</t>
  </si>
  <si>
    <t>2269/4817</t>
  </si>
  <si>
    <t>90</t>
  </si>
  <si>
    <t>VARICO TRADING (L.L.C)</t>
  </si>
  <si>
    <t>3104/12389</t>
  </si>
  <si>
    <t>91</t>
  </si>
  <si>
    <t>FUTURE MOON</t>
  </si>
  <si>
    <t>3467/1791</t>
  </si>
  <si>
    <t>92</t>
  </si>
  <si>
    <t>WHITE SHELL TRADING (LLC)</t>
  </si>
  <si>
    <t>4476/120937</t>
  </si>
  <si>
    <t>93</t>
  </si>
  <si>
    <t>DAY MARINE DAY</t>
  </si>
  <si>
    <t>1503/513</t>
  </si>
  <si>
    <t>94</t>
  </si>
  <si>
    <t>INFINITY COM TRD</t>
  </si>
  <si>
    <t>6913/241</t>
  </si>
  <si>
    <t>95</t>
  </si>
  <si>
    <t>USAT GENERAL TRADING</t>
  </si>
  <si>
    <t>7022/25733</t>
  </si>
  <si>
    <t>96</t>
  </si>
  <si>
    <t>DIAMOND STONE GEN TRD</t>
  </si>
  <si>
    <t>3824/525</t>
  </si>
  <si>
    <t>97</t>
  </si>
  <si>
    <t xml:space="preserve">MULTI COMMUNICATION </t>
  </si>
  <si>
    <t>98</t>
  </si>
  <si>
    <t>3467/23957,58 , 59,60-3100</t>
  </si>
  <si>
    <t>99</t>
  </si>
  <si>
    <t>116/28893</t>
  </si>
  <si>
    <t>100</t>
  </si>
  <si>
    <t>TABAR TRADING CO. LLC.</t>
  </si>
  <si>
    <t>116/40672</t>
  </si>
  <si>
    <t>101</t>
  </si>
  <si>
    <t>LINDA HOUSEHOLD</t>
  </si>
  <si>
    <t>6933/43145 &amp; 5957</t>
  </si>
  <si>
    <t>102</t>
  </si>
  <si>
    <t>74/26339</t>
  </si>
  <si>
    <t>103</t>
  </si>
  <si>
    <t>MOBINA</t>
  </si>
  <si>
    <t>124/14433</t>
  </si>
  <si>
    <t>104</t>
  </si>
  <si>
    <t>124/16408</t>
  </si>
  <si>
    <t>105</t>
  </si>
  <si>
    <t>WINBORN TRADING (L.L.C)</t>
  </si>
  <si>
    <t>116/35432</t>
  </si>
  <si>
    <t>106</t>
  </si>
  <si>
    <t>Mutual Trust</t>
  </si>
  <si>
    <t>37/8316</t>
  </si>
  <si>
    <t>107</t>
  </si>
  <si>
    <t>1913/22</t>
  </si>
  <si>
    <t>108</t>
  </si>
  <si>
    <t>2987/65</t>
  </si>
  <si>
    <t>109</t>
  </si>
  <si>
    <t>FORTEX GEN.TR</t>
  </si>
  <si>
    <t>4476/132051</t>
  </si>
  <si>
    <t>110</t>
  </si>
  <si>
    <t>111</t>
  </si>
  <si>
    <t>3467/24815</t>
  </si>
  <si>
    <t>112</t>
  </si>
  <si>
    <t>3467/24816</t>
  </si>
  <si>
    <t>113</t>
  </si>
  <si>
    <t>3467/24817</t>
  </si>
  <si>
    <t>114</t>
  </si>
  <si>
    <t>3273/921</t>
  </si>
  <si>
    <t>115</t>
  </si>
  <si>
    <t>3467/612</t>
  </si>
  <si>
    <t>116</t>
  </si>
  <si>
    <t xml:space="preserve">AMIR HOSSEIN MOTAGHI </t>
  </si>
  <si>
    <t>2345/1477</t>
  </si>
  <si>
    <t>117</t>
  </si>
  <si>
    <t>4676/1284</t>
  </si>
  <si>
    <t>118</t>
  </si>
  <si>
    <t>4494/555</t>
  </si>
  <si>
    <t>119</t>
  </si>
  <si>
    <t>4676/447</t>
  </si>
  <si>
    <t>120</t>
  </si>
  <si>
    <t>2345/1809</t>
  </si>
  <si>
    <t>121</t>
  </si>
  <si>
    <t>2345/139</t>
  </si>
  <si>
    <t>122</t>
  </si>
  <si>
    <t>4676/1572</t>
  </si>
  <si>
    <t>123</t>
  </si>
  <si>
    <t>4676/1570</t>
  </si>
  <si>
    <t>124</t>
  </si>
  <si>
    <t>4676/1569</t>
  </si>
  <si>
    <t>125</t>
  </si>
  <si>
    <t>4676/1568</t>
  </si>
  <si>
    <t>126</t>
  </si>
  <si>
    <t>4676/1574</t>
  </si>
  <si>
    <t>127</t>
  </si>
  <si>
    <t>4676/1575</t>
  </si>
  <si>
    <t>128</t>
  </si>
  <si>
    <t>4676/1576</t>
  </si>
  <si>
    <t>129</t>
  </si>
  <si>
    <t>4676/1571</t>
  </si>
  <si>
    <t>130</t>
  </si>
  <si>
    <t>4676/1573</t>
  </si>
  <si>
    <t>131</t>
  </si>
  <si>
    <t>7/1635-37</t>
  </si>
  <si>
    <t>132</t>
  </si>
  <si>
    <t xml:space="preserve">RONDELL GULF </t>
  </si>
  <si>
    <t>36/3016</t>
  </si>
  <si>
    <t>133</t>
  </si>
  <si>
    <t>36/2999</t>
  </si>
  <si>
    <t>134</t>
  </si>
  <si>
    <t>ACTIVE GENERAL TRADING FZC</t>
  </si>
  <si>
    <t>6880/28</t>
  </si>
  <si>
    <t>135</t>
  </si>
  <si>
    <t>6880/19</t>
  </si>
  <si>
    <t>136</t>
  </si>
  <si>
    <t>CASPIAN INDUSTRIAL MACHINERY SUPPLY</t>
  </si>
  <si>
    <t>3288/89</t>
  </si>
  <si>
    <t>137</t>
  </si>
  <si>
    <t>2395/401897</t>
  </si>
  <si>
    <t>138</t>
  </si>
  <si>
    <t>2395/401918</t>
  </si>
  <si>
    <t>139</t>
  </si>
  <si>
    <t>SILVER POINT GT</t>
  </si>
  <si>
    <t>3045,3045/1</t>
  </si>
  <si>
    <t>140</t>
  </si>
  <si>
    <t xml:space="preserve">CASTELO NERO FOR </t>
  </si>
  <si>
    <t>677/9</t>
  </si>
  <si>
    <t>141</t>
  </si>
  <si>
    <t>PERSCO TRADING LLC</t>
  </si>
  <si>
    <t>884/8</t>
  </si>
  <si>
    <t>_</t>
  </si>
  <si>
    <t>142</t>
  </si>
  <si>
    <t>ELIGHT INTERNATIONAL GROUP FZE</t>
  </si>
  <si>
    <t>3765/744</t>
  </si>
  <si>
    <t>143</t>
  </si>
  <si>
    <t>SINACO(LLC)</t>
  </si>
  <si>
    <t>39/104</t>
  </si>
  <si>
    <t>144</t>
  </si>
  <si>
    <t>6933/51664</t>
  </si>
  <si>
    <t>WEST CORAL GENERAL</t>
  </si>
  <si>
    <t>6933/10522</t>
  </si>
  <si>
    <t xml:space="preserve">WEST CORAL GENERAL </t>
  </si>
  <si>
    <t>34/6457</t>
  </si>
  <si>
    <t xml:space="preserve">FUTURE DEAL </t>
  </si>
  <si>
    <t>6933/3511</t>
  </si>
  <si>
    <t xml:space="preserve">FORMER TRADING LLC </t>
  </si>
  <si>
    <t>67/17737</t>
  </si>
  <si>
    <t xml:space="preserve">BLUE FLAME GENERAL TRADING </t>
  </si>
  <si>
    <t>3542/1602</t>
  </si>
  <si>
    <t xml:space="preserve">SKY AUTO ACCS SPARE PART LLC </t>
  </si>
  <si>
    <t>37/12321</t>
  </si>
  <si>
    <t xml:space="preserve">ALL CHEM    INTERNATIONAL </t>
  </si>
  <si>
    <t>25/28</t>
  </si>
  <si>
    <t xml:space="preserve">PISTON   TRADING </t>
  </si>
  <si>
    <t>31/127</t>
  </si>
  <si>
    <t>GOLDEN PRIZE TRADING</t>
  </si>
  <si>
    <t>1939/12398</t>
  </si>
  <si>
    <t xml:space="preserve">APEX   WORLD     GENERAL TRADING </t>
  </si>
  <si>
    <t>31/373</t>
  </si>
  <si>
    <t>HALAJI       TRADING    CO - LLC</t>
  </si>
  <si>
    <t>4642/3</t>
  </si>
  <si>
    <t xml:space="preserve">MAQSAD   INTERNATIONAL      G   T </t>
  </si>
  <si>
    <t>3980/552</t>
  </si>
  <si>
    <t xml:space="preserve">MAQSAD   INTERNATIONAL    G   T </t>
  </si>
  <si>
    <t>1/144/2777 &amp; 1/144/2778</t>
  </si>
  <si>
    <t xml:space="preserve">MEAD     INTERNATIONAL     G   TRDDING </t>
  </si>
  <si>
    <t>1113/517</t>
  </si>
  <si>
    <t xml:space="preserve">MEAD    INTERNATIONAL    G    TRDDING </t>
  </si>
  <si>
    <t>1/370</t>
  </si>
  <si>
    <t>2681-2684</t>
  </si>
  <si>
    <t>1/13771</t>
  </si>
  <si>
    <t>36/235/1485</t>
  </si>
  <si>
    <t>36/235/1486</t>
  </si>
  <si>
    <t>36/235/1487</t>
  </si>
  <si>
    <t>N D B     FZE</t>
  </si>
  <si>
    <t>643/534</t>
  </si>
  <si>
    <t>1113/484</t>
  </si>
  <si>
    <t>11/780</t>
  </si>
  <si>
    <t>645/2575</t>
  </si>
  <si>
    <t>A   &amp;  A    AMIR     TRADING CO - LLC</t>
  </si>
  <si>
    <t>69/1168,1194,1203</t>
  </si>
  <si>
    <t>MERSAD    G    TRADING    - LLC</t>
  </si>
  <si>
    <t>4314/1</t>
  </si>
  <si>
    <t>ABOLGHASEM SHAIKHI (MOHAMMAD REZA)</t>
  </si>
  <si>
    <t>8403/573</t>
  </si>
  <si>
    <t>MOKHTARAN G T</t>
  </si>
  <si>
    <t>234/5433/5597</t>
  </si>
  <si>
    <t>234/5433/5596</t>
  </si>
  <si>
    <t>234/5433</t>
  </si>
  <si>
    <t>KHOSROUSHAHI TRDG</t>
  </si>
  <si>
    <t>HONEY NOON GEN TRDG</t>
  </si>
  <si>
    <t>17/252</t>
  </si>
  <si>
    <t>MORNING STAR TRDG</t>
  </si>
  <si>
    <t>36/235/1473</t>
  </si>
  <si>
    <t>36/235/1474</t>
  </si>
  <si>
    <t>36/235/1475</t>
  </si>
  <si>
    <t>36/235/1476</t>
  </si>
  <si>
    <t>36/235/1477</t>
  </si>
  <si>
    <t>36/235/1478</t>
  </si>
  <si>
    <t>36/235/1479</t>
  </si>
  <si>
    <t>36/235/1480</t>
  </si>
  <si>
    <t>36/235/1481</t>
  </si>
  <si>
    <t>CEASER PALACE GEN TRDG</t>
  </si>
  <si>
    <t>7/126/7537</t>
  </si>
  <si>
    <t>15/358/1210/12063</t>
  </si>
  <si>
    <t>15/358/1210/12061</t>
  </si>
  <si>
    <t>15/358/1210/12067</t>
  </si>
  <si>
    <t>15/358/1210/12111</t>
  </si>
  <si>
    <t>15/358/1210/12059</t>
  </si>
  <si>
    <t>15/358/1210/12068</t>
  </si>
  <si>
    <t>FINALLY BUSINESS (MSN GT)</t>
  </si>
  <si>
    <t>117/384</t>
  </si>
  <si>
    <t>1485/1</t>
  </si>
  <si>
    <t>12/307</t>
  </si>
  <si>
    <t>VALFAJR GEN TRDG</t>
  </si>
  <si>
    <t>6518/1148/5490</t>
  </si>
  <si>
    <t>SELECTOR TRDG FZE</t>
  </si>
  <si>
    <t>2/733</t>
  </si>
  <si>
    <t>MIDDLE EAST &amp; EUROPE</t>
  </si>
  <si>
    <t>374/57/94/5355</t>
  </si>
  <si>
    <t>ELEGANT AUTO ACCE</t>
  </si>
  <si>
    <t>12/9070</t>
  </si>
  <si>
    <t>10837/2587</t>
  </si>
  <si>
    <t>KARAN SHIPPING LLC</t>
  </si>
  <si>
    <t>516/40&amp;303/4/7</t>
  </si>
  <si>
    <t>EGHBAL G.T.</t>
  </si>
  <si>
    <t>36/235/1482</t>
  </si>
  <si>
    <t>36/235/1483</t>
  </si>
  <si>
    <t>36/235/1484</t>
  </si>
  <si>
    <t xml:space="preserve">YOUSEF MANSOUR POUR </t>
  </si>
  <si>
    <t xml:space="preserve">ALI BIZHAN ROOZBEHI  </t>
  </si>
  <si>
    <t>4094/9237</t>
  </si>
  <si>
    <t xml:space="preserve"> GHOLAMSHA GHITAS SARVARI     </t>
  </si>
  <si>
    <t>2067/2380</t>
  </si>
  <si>
    <t xml:space="preserve">AMIN GHEISAR SARVARI </t>
  </si>
  <si>
    <t>4094/8252</t>
  </si>
  <si>
    <t xml:space="preserve">NASER HOUSE HOLD </t>
  </si>
  <si>
    <t>1156/479</t>
  </si>
  <si>
    <t>1369/26</t>
  </si>
  <si>
    <t>28/22549</t>
  </si>
  <si>
    <t xml:space="preserve">AL BALLOURA TRADING COMPANY </t>
  </si>
  <si>
    <t>507/326</t>
  </si>
  <si>
    <t>ONGHAEI TRADING LLC</t>
  </si>
  <si>
    <t>127/104</t>
  </si>
  <si>
    <t>GULF GATE INT'L FZC</t>
  </si>
  <si>
    <t>162/11586</t>
  </si>
  <si>
    <t xml:space="preserve">LASHKARI TOURISM </t>
  </si>
  <si>
    <t>9/2319</t>
  </si>
  <si>
    <t>101/5789</t>
  </si>
  <si>
    <t>59/129-70207</t>
  </si>
  <si>
    <t>BLUE STAR</t>
  </si>
  <si>
    <t>56/354/4723</t>
  </si>
  <si>
    <t>INDUSTRIES NECESSITIES SUPPLING FZC</t>
  </si>
  <si>
    <t>SEPANTA INT'L FZE</t>
  </si>
  <si>
    <t>MARGOUN GENERAL TRADINF LLC</t>
  </si>
  <si>
    <t>2541/7913</t>
  </si>
  <si>
    <t>2541/7914</t>
  </si>
  <si>
    <t>2541/7915</t>
  </si>
  <si>
    <t>2541/7916</t>
  </si>
  <si>
    <t>2541/7917</t>
  </si>
  <si>
    <t>2083/2619</t>
  </si>
  <si>
    <t>AL MEEZAA TYRES TRADE</t>
  </si>
  <si>
    <t>ABDOLREZA GERAMI JAMALI</t>
  </si>
  <si>
    <t>2083/7941</t>
  </si>
  <si>
    <t>NAHIL ELECTRICAL EST BRANCH</t>
  </si>
  <si>
    <t>1102/4119</t>
  </si>
  <si>
    <t xml:space="preserve">GULF SKY AUTO ACCS TYRES </t>
  </si>
  <si>
    <t>632/204</t>
  </si>
  <si>
    <t xml:space="preserve">MOHAMMAD MIRSHEKARI </t>
  </si>
  <si>
    <t>2083/6273</t>
  </si>
  <si>
    <t xml:space="preserve">MZG TYRES TRADING </t>
  </si>
  <si>
    <t>638/140</t>
  </si>
  <si>
    <t xml:space="preserve"> SKY AUTO ACCESS N SPARE PRTS</t>
  </si>
  <si>
    <t>502/579</t>
  </si>
  <si>
    <t>2052/8688</t>
  </si>
  <si>
    <t>66/484</t>
  </si>
  <si>
    <t>66/494</t>
  </si>
  <si>
    <t>1/16546</t>
  </si>
  <si>
    <t>1/16561</t>
  </si>
  <si>
    <t>1/16560</t>
  </si>
  <si>
    <t>1/16562</t>
  </si>
  <si>
    <t>1/16545</t>
  </si>
  <si>
    <t>1/16563</t>
  </si>
  <si>
    <t>1/16544</t>
  </si>
  <si>
    <t>1/16565</t>
  </si>
  <si>
    <t>1/16566</t>
  </si>
  <si>
    <t>1/16564</t>
  </si>
  <si>
    <t>1/16553</t>
  </si>
  <si>
    <t>1/16550</t>
  </si>
  <si>
    <t>1/16543</t>
  </si>
  <si>
    <t>1/16541</t>
  </si>
  <si>
    <t>1/16556</t>
  </si>
  <si>
    <t>1/16547</t>
  </si>
  <si>
    <t>1/16558</t>
  </si>
  <si>
    <t>1/16548</t>
  </si>
  <si>
    <t>1/16559</t>
  </si>
  <si>
    <t>1/16554</t>
  </si>
  <si>
    <t>1/16542</t>
  </si>
  <si>
    <t>1/16549</t>
  </si>
  <si>
    <t>1/16555</t>
  </si>
  <si>
    <t>1/16557</t>
  </si>
  <si>
    <t>23/111</t>
  </si>
  <si>
    <t>SHAHIN INTERNATIONAL TRAD</t>
  </si>
  <si>
    <t>ARAZOO  G.T.</t>
  </si>
  <si>
    <t>WADA  GT</t>
  </si>
  <si>
    <t xml:space="preserve">ALI SAFI KHANI </t>
  </si>
  <si>
    <t xml:space="preserve">ABU JABER VEGETABLES ESTABLISH </t>
  </si>
  <si>
    <t xml:space="preserve"> SUNRISE ELECTRONIC WHEEL BALANCE </t>
  </si>
  <si>
    <t>SINACO  LLC</t>
  </si>
  <si>
    <t xml:space="preserve">TASNEEM G MAINTENANCE &amp; CONTRACTING  </t>
  </si>
  <si>
    <t xml:space="preserve">BONYAN MARBLE  &amp; CONCERETE  </t>
  </si>
  <si>
    <t>92 &amp; 96</t>
  </si>
  <si>
    <t>49</t>
  </si>
  <si>
    <t>50</t>
  </si>
  <si>
    <t>79</t>
  </si>
  <si>
    <t>8/3335</t>
  </si>
  <si>
    <t>8/3332</t>
  </si>
  <si>
    <t>8/3333</t>
  </si>
  <si>
    <t>3526/21751</t>
  </si>
  <si>
    <t>6933/73729</t>
  </si>
  <si>
    <t>6933/73730</t>
  </si>
  <si>
    <t>6933/73727</t>
  </si>
  <si>
    <t>6933/73723</t>
  </si>
  <si>
    <t>6933/73724</t>
  </si>
  <si>
    <t>1635,36,37</t>
  </si>
  <si>
    <t xml:space="preserve">MOTANA GENERAL TRADING (L.L.C) </t>
  </si>
  <si>
    <t xml:space="preserve">AL MA INTERNATIONAL </t>
  </si>
  <si>
    <t xml:space="preserve">AL DHOHA </t>
  </si>
  <si>
    <t>کارخانه</t>
  </si>
  <si>
    <t>زمین</t>
  </si>
  <si>
    <t>آپارتمان</t>
  </si>
  <si>
    <t>تهران خ شریعتی نرسیده به پل صدر بن بست بهادر پلاک 4 واحد 2</t>
  </si>
  <si>
    <t>تهران - خ دماوند - شرق چهارراه خاقانی خ حیدری - خ اقدسی پلاک 19</t>
  </si>
  <si>
    <t>تهران- جاده مخصوص تهران کرج- مقابل پل فرودگاه- خیابان ریاحی- پلاک شهرداری 21(29 سابق)- مجتمع مسکونی گلدیس ورودی یا بلوک شماره 2 طبقه اول- سمت جنوب شرق -شماره 17</t>
  </si>
  <si>
    <t>تهران- نیاوران- خیابان مژده- خیابان همایون- خیابان مریم- کوچه صادقی- پلاک 27 واحد 14</t>
  </si>
  <si>
    <t>شماره حساب</t>
  </si>
  <si>
    <t>شیراز</t>
  </si>
  <si>
    <t>تهران</t>
  </si>
  <si>
    <t>آمل</t>
  </si>
  <si>
    <t>گیلان</t>
  </si>
  <si>
    <t>مشهد</t>
  </si>
  <si>
    <t>کرج</t>
  </si>
  <si>
    <t>رشت</t>
  </si>
  <si>
    <t>بندرعباس</t>
  </si>
  <si>
    <t>اصفهان</t>
  </si>
  <si>
    <t>کرمانشاه</t>
  </si>
  <si>
    <t>ساوه</t>
  </si>
  <si>
    <t>12/358/1210/12060</t>
  </si>
  <si>
    <t>ویلا</t>
  </si>
  <si>
    <t>کیش</t>
  </si>
  <si>
    <t xml:space="preserve">ایران - اردبیل- بخش 3 - خیابان آستارا- کارخانه آرتا ماشین </t>
  </si>
  <si>
    <t>کرج- میدان شهید سلطانی- خیابان آتش نشانی- خیابان شقایق غربی- پلاک 74</t>
  </si>
  <si>
    <t>تهران- شمیران- خیابان شهید باهنر(نیاوران)- خیابان کاظم العرفاء- کوچه معمارزاده- پلاک 8</t>
  </si>
  <si>
    <t>فارس- مرودشت- بلوار 60 متری جانبازان- خیابان 18 متری- جنب انبار جهاد کشاورزی- کارخانه شالی کوبی مروارید فارس</t>
  </si>
  <si>
    <t>کرج- ماهدشت- خیابان سردارن- خیابان چهارم شمالی- روبروی کارخانه ماکارونی نامی</t>
  </si>
  <si>
    <t xml:space="preserve">تهران- منطقه ولنجک- خیابان مقدس اردبیلی- خیابان شادآور- خیابان ششم - پلاک 16- طبقه چهارم </t>
  </si>
  <si>
    <t>تهران- خیابان پاسداران- خیابان فرخی یزدی- کوچه ششم ( بن بست سلطانی مهر)- پلاک 49</t>
  </si>
  <si>
    <t>دماوند- جاده احمد آباد-خیابان طالقانی - روبروی گلستان یکم - پلاک آبی جدید 221</t>
  </si>
  <si>
    <t xml:space="preserve">تهران- قائم مقام فراهانی- نرسیده به خیابان شهید مطهری- خیابان ماگنولیا- نبش کوچه گلریز- پلاک 27 </t>
  </si>
  <si>
    <t>تهران- غرب چهار راه سید خندان- خیابان جلفا- کوچه عطار- کوچه چلچله- پلاک 2- آپارتمان طبقه دوم</t>
  </si>
  <si>
    <t>تهران- منطقه چیذر- میدان ندا- خیابان ید اله سلیمی ( غرب خیابان معتمد ساطعی)- پلاک 7- آپارتمان طبقه دوم غربی</t>
  </si>
  <si>
    <t>آبعلی - مشاء دماوند- شهرک موسوم به نگین- کوچه اول غربی</t>
  </si>
  <si>
    <t>تهران- خیابان مطهری- خیابان میر عماد- خیابان یازدهم- نبش جنوبی- بزرگراه مدرس- بلوک 46</t>
  </si>
  <si>
    <t>630/144</t>
  </si>
  <si>
    <t>ساری- خیابان شهابی- نبش کوچه میرجانی- طبقه سوم - واحد شرقی</t>
  </si>
  <si>
    <t>630B/9080-144</t>
  </si>
  <si>
    <t>ساری- خیابان شهابی- نبش کوچه میرجانی- طبقه دوم - واحد شرقی</t>
  </si>
  <si>
    <t>630B/9081-144</t>
  </si>
  <si>
    <t>ساری- خیابان شهابی- نبش کوچه میرجانی- طبقه سوم - واحد غربی</t>
  </si>
  <si>
    <t>630B/9077-144</t>
  </si>
  <si>
    <t>ساری- خیابان شهابی- نبش کوچه میرجانی- طبقه اول - واحد غربی</t>
  </si>
  <si>
    <t>630B/9079-144</t>
  </si>
  <si>
    <t>ساری- خیابان شهابی- نبش کوچه میرجانی- طبقه دوم - واحد غربی</t>
  </si>
  <si>
    <t>17/19/23</t>
  </si>
  <si>
    <t xml:space="preserve">ساری- میدان ولی عصر- جاده خرزآباد- بعد از پمپ بنزین </t>
  </si>
  <si>
    <t>17/19/21</t>
  </si>
  <si>
    <t>17/19/24</t>
  </si>
  <si>
    <t>17/19/25</t>
  </si>
  <si>
    <t>17/19/29</t>
  </si>
  <si>
    <t>تهران- خیابان خراسان- خیابان مشهدی رحیم- بن بست اخباری- پلاک 137</t>
  </si>
  <si>
    <t xml:space="preserve">تهران- زعفرانیه- خیابان آصف- ضلع شمالی پارک ولنجک- خیابان آرش - نبش کوچه فرهنگیان- پلاک 4 و 6 طبقه 5 </t>
  </si>
  <si>
    <t>نشانی ملک</t>
  </si>
  <si>
    <t>شهر</t>
  </si>
  <si>
    <t>تهران پاسداران انتهای بوستان 9 پلاک 78 مجتمع مسکونی بوستان طبقه همکف واحد co</t>
  </si>
  <si>
    <t>تهران دوراهی قلهک کوچه امیر پابرجا بن بست امیر حسین پلاک 60</t>
  </si>
  <si>
    <t>3467/12686
3467/12809</t>
  </si>
  <si>
    <t>تهران خیابان ظفر دستگردی  بلوار مینا  کوچه نوربخش پلاک 29</t>
  </si>
  <si>
    <t>تهران خیابان ظفر دستگردی  خیابان نفت شمالی کوچه دهم میدان سینا کوچه پیروزی شرقی شماره 27</t>
  </si>
  <si>
    <t>تهران خیابان ولیعصر حد فاصل خیابانهای طالقانی و میدان ولیعصر مقابل وزارت بازرگانی نبش کوچه های زمرد اداری و فیروزه آپارتمان شما شرقی طبقه چهارم بلوک جنوبی شماره 7</t>
  </si>
  <si>
    <t>خیابان آزادی-خیابان خوش جنوبی کوچه آزاد 949 طبقه سوم</t>
  </si>
  <si>
    <t>خیابان شهید ناطقی (خورشید)کوچه هشتم بن بست اول پلاک 8 طبقه اول</t>
  </si>
  <si>
    <t>خیابان  پیروزی خیابان زاهد گیلانی کوچه اکبری پلاک 7 طبقه اول</t>
  </si>
  <si>
    <t>میدان ابن سینا خیابان ناطقی (خورشید) پلاک 100 طبقه چهارم</t>
  </si>
  <si>
    <t>خیابان آزادی خیابان خوش جنوبی کوچه ارجمندی پلاک 12 طبقه دوم</t>
  </si>
  <si>
    <t>خیابان آزادی خیابان خوش جنوبی کوچه ارجمندی پلاک 12 طبقه سوم</t>
  </si>
  <si>
    <t>میدان ابن سینا خیابان ناطقی (خورشید) پلاک 100 طبقه دوم</t>
  </si>
  <si>
    <t>میدان ابن سینا خیابان ناطقی (خورشید) پلاک 100 طبقه اول</t>
  </si>
  <si>
    <t>میدان ابن سینا خیابان ناطقی (خورشید) پلاک 100 طبقه همکف</t>
  </si>
  <si>
    <t>میدان ابن سینا خیابان ناطقی (خورشید) پلاک 100 طبقه سوم</t>
  </si>
  <si>
    <t>خیابان جمهوری خیابان ملت ساختمان تهران خودرو طبقه یازده</t>
  </si>
  <si>
    <t>تهران پاسداران نبش خیابان بهارستان نهم پلاک 1 طبقه 4واحد 21</t>
  </si>
  <si>
    <t>تهران خیابان پاسداران نبش خیابان بهارستان نهم پلاک 1 طبقه 4 واحد 20</t>
  </si>
  <si>
    <t>تهران خیابان طالقانی بین خیابان ملک الشعرا بهر و خیابان مفتح پلاک 290 طبقه 4</t>
  </si>
  <si>
    <t>تهران خیابان طالقانی بین خیابان ملک الشعرا بهر و خیابان مفتح پلاک 290 طبقه 3</t>
  </si>
  <si>
    <t>فارس</t>
  </si>
  <si>
    <t>گراش بخش ارد خیابان 12 متری کوچه ایثار 29</t>
  </si>
  <si>
    <t>حدود 60 کیلومتری جاده اصفهان به تهران-شهرک صنعتی مورچه خورت-بلوار شیخ بهایی -فاز 3-خیابان شیخ بهایی هفتم</t>
  </si>
  <si>
    <t>محمود آباد- سرخرود-بلوار بهار (بابلسر)کوچه گل مریم طبقه چهارم واحد میانی</t>
  </si>
  <si>
    <t>محمود آباد- سرخرود-بلوار بهار (بابلسر)کوچه گل مریم طبقه چهارم واحد جنوبی</t>
  </si>
  <si>
    <t>محمود آباد- سرخرود-بلوار بهار (بابلسر)کوچه گل مریم طبقه چهارم واحد شمالی</t>
  </si>
  <si>
    <t>جهرم</t>
  </si>
  <si>
    <t>شیراز فضل آباد کوچه 3 فدک پلاک 127 ساختمان علی طبقه 4 واحد 10</t>
  </si>
  <si>
    <t>35/82341</t>
  </si>
  <si>
    <t>بزرگراه صدر-میدان پیروز-خ قیطریه جنوبی-خ میر افضلی-پ12</t>
  </si>
  <si>
    <t>خیابان قایم مقام -خ6-پلاک9-طبقه 2</t>
  </si>
  <si>
    <t>خیابان قایم مقام -خ6-پلاک9-طبقه 3</t>
  </si>
  <si>
    <t>خیابان قایم مقام -خ6-پلاک9-طبقه 4</t>
  </si>
  <si>
    <t xml:space="preserve">زعفرانیه خ مقدس اردبیلی ک شهید حیدری پ 3 ط 8 غربی </t>
  </si>
  <si>
    <t xml:space="preserve">شهرک غرب-بزرگراه فرحزادی--خ سپهر -پ49 طبقه اول و دوم </t>
  </si>
  <si>
    <t>خیابان توحید -خ شهید ابوالفضل حاج رضایی پ24-طبقه سوم غربی-واحد 6</t>
  </si>
  <si>
    <t>میرداماد میدان مادر خ شاه نظری خ دوم پ15 واحد 6</t>
  </si>
  <si>
    <t>خ ظفر- خ فرید افشار- کوی آرش -پ46</t>
  </si>
  <si>
    <t>خ پیروزی-خ سوم نیرو هوایی-خیابان طباطبایی ک 3/34-پ6-ط سوم</t>
  </si>
  <si>
    <t xml:space="preserve">خ دزاشیب-خ کریمی-خ امیر نوری-نبش بن بست پویان -پ20و 22 ط اول-سمت شمال غرب </t>
  </si>
  <si>
    <t>خ بهار شیراز-نرسیده به شریعتی-جنب سوپر مارکت پارسیان-پلاک آبی 22</t>
  </si>
  <si>
    <t>نارمک -خ شهید ثانی -خ سمنگان - نبش شمال غربی میدان 78 پلاک 8  -طبقه همکف قطعه 1</t>
  </si>
  <si>
    <t>خ جمهوری -خ 12 فروردین -کوچه بیژن-پ18</t>
  </si>
  <si>
    <t>خ جمهوری نرسیده به میدان بهارستان- ابتدای خیابان ملت-ساختمان برج بهارستان(تهران خودرو)</t>
  </si>
  <si>
    <t xml:space="preserve">جردن بعد از پمب بنزین ک سعیدی پلاک19 </t>
  </si>
  <si>
    <t>شهرک غرب -فاز 7- خ شفق- ک مهتاب -  مجتمع مریم -پلاک 20-واحد 2</t>
  </si>
  <si>
    <t>شهرک غرب-بزرگراه فرحزادی-ایستگاه دریا-خ صفا-پ آبی 7-ط1 -واحد 3</t>
  </si>
  <si>
    <t>خیابان بخارست-خ 16-پلاک 22(54)</t>
  </si>
  <si>
    <t>بلوار دریا -خ شهید برادران صرافها- ساختمان ولیعصر -وروردی6-طبقه 2-شماره 51</t>
  </si>
  <si>
    <t>شهرک اکباتان فاز 3 بلوک D2 ورودی 4 ط 2-شماره 115</t>
  </si>
  <si>
    <t>شهرک اکباتان فاز 3 بلوک D2 ورودی 13 ط 10-شماره 479</t>
  </si>
  <si>
    <t>سعادت آباد -میدان سرو-نبش آسمان4 شرقی-پ2-واحد1</t>
  </si>
  <si>
    <t>شهرک صنعتی -بلوار اصلی-خیابان شهید مدرس به صورت دو بر</t>
  </si>
  <si>
    <t xml:space="preserve">شهرک صنعتی -بلوار اصلی-خیابان شهید مدرس متصل به شرکت فرآوری خودرو </t>
  </si>
  <si>
    <t>پاسداران، میدان حسين آباد شمیران- خ. وفا منش ، خ: شهید مفتوحى، پ 53/1</t>
  </si>
  <si>
    <t>نوشهر</t>
  </si>
  <si>
    <t xml:space="preserve">خ: کریم خان زند،
خ:ایرانشهر،
کوچه  نوشهر،پ37، طبقه 5
</t>
  </si>
  <si>
    <t xml:space="preserve">خ: کریم خان زند،
خ:ایرانشهر،
کوچه  نوشهر،پ37، طبقه 1
</t>
  </si>
  <si>
    <t>6933/73731</t>
  </si>
  <si>
    <t xml:space="preserve">خ: کریم خان زند،
خ:ایرانشهر،
کوچه  نوشهر،پ37، طبقه 4
</t>
  </si>
  <si>
    <t xml:space="preserve">خ: کریم خان زند،
خ:ایرانشهر،
کوچه  نوشهر،پ37، طبقه3
</t>
  </si>
  <si>
    <t xml:space="preserve">خ: کریم خان زند،
خ:ایرانشهر،
کوچه  نوشهر،پ37، طبقه 2
</t>
  </si>
  <si>
    <t xml:space="preserve">خ: کریم خان زند،
خ:ایرانشهر،
کوچه  نوشهر،پ37، طبقه همکف
</t>
  </si>
  <si>
    <t xml:space="preserve">خ: کریم خان زند،
خ:ایرانشهر،
کوچه  نوشهر،پ37، طبقه1
</t>
  </si>
  <si>
    <t xml:space="preserve">خ: باسداران- بهارستان 9- پلاك 570- طبقه 3- 
واحد 16 </t>
  </si>
  <si>
    <t>پاسداران، بوستان هشتم، بین اسلامی و صیاد، 
پلاک 50 (101 قدیم)</t>
  </si>
  <si>
    <t>پاسداران،خ:محسنیان،نبش نیستان هشتم پلاک آبی شهرداری10 واحد 6</t>
  </si>
  <si>
    <t>تهران خ.پاسداران،
خ  بهستان چهارم،خ هاتف اصفهانی (رام) خ گلناز پلاک6،ط اول واحد2</t>
  </si>
  <si>
    <t>تهران خ.پاسداران،
خ  بهستان یکم، پلاک5،ط دوم واحد 3</t>
  </si>
  <si>
    <t>خیابان  شریعتی خ دولت خ شهید کلاهدوز ، نرسیده به چهارراه قنات 
پ 434/5 ط همکف غربی</t>
  </si>
  <si>
    <t>خیابان احمد اباد خ  ابوذر غفاری کوچه 
22 پلاک 60 ط اول</t>
  </si>
  <si>
    <t>خ احمد اباد خیابان ابوذر غفاری کوچه 
22 پلاک 60 ط دوم</t>
  </si>
  <si>
    <t>بلوار احمد اباد خیابان ابوذر غفاری کوچه 
22 پلاک 60 ط سوم</t>
  </si>
  <si>
    <t xml:space="preserve">خ: قیطریه جنوبی،
کوچه هنگامه غربی، پ:30
طبقه دوم جنوبی </t>
  </si>
  <si>
    <t xml:space="preserve">میدان آرژانتین،خ:بیهقی،
شماره 23،طبقه دوم </t>
  </si>
  <si>
    <t xml:space="preserve">نوشهر به طرف نور، 
بعد از چیلک، جنب پمپ بنزین، خ:ریاست جمهوری ک پامچال ضلع شمالی باغ دکتر منصور </t>
  </si>
  <si>
    <t>قیطریه ، کوچه روشنایی شرقی، پلاک 6</t>
  </si>
  <si>
    <t>لواسان-قریه نجار کلاه خیابان پیام -پلاک 20</t>
  </si>
  <si>
    <t xml:space="preserve">کلارآباد، سلمانشهر-دریا گوشه -انتهای ک 57 شهید بهشتی انتهای خیابان سمت راست ویلای آخر </t>
  </si>
  <si>
    <t>قشم</t>
  </si>
  <si>
    <t>محمودآباد</t>
  </si>
  <si>
    <t>کاشمر</t>
  </si>
  <si>
    <t>شهریار</t>
  </si>
  <si>
    <t>ماهشهر</t>
  </si>
  <si>
    <t>گرگان</t>
  </si>
  <si>
    <t>کرمان</t>
  </si>
  <si>
    <t>تنکابن</t>
  </si>
  <si>
    <t>اردبیل</t>
  </si>
  <si>
    <t>دماوند</t>
  </si>
  <si>
    <t>ساری</t>
  </si>
  <si>
    <t>فارس - گراش</t>
  </si>
  <si>
    <t>استان فارس-شهرستان شیراز- بخش ثبتی چهارناحیه یک</t>
  </si>
  <si>
    <t>شیراز، بلوار مدرس، کاوه، شاهیجان، کوچه ۱۲ متری اول، ۸ متری سمت چپ (ساختمان سوگند)</t>
  </si>
  <si>
    <t>استان فارس- جهرم- بخش ثبتی یازده 
خیابان حرم تا حرم 20متری دوم کوچه  یک</t>
  </si>
  <si>
    <t>استان فارس، شهر شیراز، خیابان بعثت، جنب تنظیم موتور مهدی، نبش کوچه اول، پلاک 28</t>
  </si>
  <si>
    <t>اصفهان، بلوار ماه فرخی، کوچه کاج شرقی (۱۱)، پلاک ۲۱، واحد 1</t>
  </si>
  <si>
    <t>استان فارس ، شهر شیراز، شهرک گلستان بلوار جهاد کوچه 11 پلاک 99 .</t>
  </si>
  <si>
    <t>بلوار جمهوری - خیابان کوهسار - انتهای کوچه -۵ نبش کوچه ۵/۳ ساختمان مارال - طبقه ۶ غربی واحد ۱۶</t>
  </si>
  <si>
    <t>پاسداران - خیابان اسلامی - بن بست بوستان هشتم - پلاک ۲۹</t>
  </si>
  <si>
    <t xml:space="preserve">شیراز - بلوار مدرس - خ فضل آباد - خ فدک - کوچه ۱۴ پس از بازارچه - پلاک سوم </t>
  </si>
  <si>
    <t>استان فارس، شهر شیراز، محله زیبا شهر، بلوار سروناز، کوچه ۵ باقر العلوم (سروناز ۱۰)، شماره پلاک طبقه دوم سمت در، در طبقه ۳</t>
  </si>
  <si>
    <t>شهر شیراز ؛ 35 متری ابرایشمی  ؛ بلوار جمهوری ؛ خیابان کوهسار ؛  کوچه 10 متری ؛ 2 ضلع شمالی مدرسه توحید ؛  ساختمان سامان ؛ طبقه 1 ؛ واحد 1</t>
  </si>
  <si>
    <t>تهران، خ: آرژانتین، خ:الوند، خ:اسفراین،طبقه 6،پلاک 6</t>
  </si>
  <si>
    <t>تهران، خ: آرژانتین، خ:الوند، خ:اسفراین،طبقه 1،پلاک 2</t>
  </si>
  <si>
    <t>تهران، یوسف آباد، خ:مهیار مهرام،کوچه 28، پلاک 28، طبقه 2 غربی</t>
  </si>
  <si>
    <t>پاسداران، بین کوهستان 3و4 ،پلاک 6،8، طبقه 5 شرقی</t>
  </si>
  <si>
    <t>خ پیروزی، خ:درودیان،خ:گرگانی،کوچه ارم، پلاک 3</t>
  </si>
  <si>
    <t>تهران، فلکه دوم صادقیه، بلوار آیت الله کاشانی، بلوار فردوس، میدان گلستان شمالی، کوچه شهید محسن رفیعی، پلاک :49،واحد 5</t>
  </si>
  <si>
    <t xml:space="preserve">بخش 4 کاشمر- شرکت تولیدی خشکبار سبز تاک کاشمر </t>
  </si>
  <si>
    <t xml:space="preserve">اول اتوبان ماهشهر،سربندر، بعد از ایستگاه هواشناسی ، جنب فرودگاه،شرکت ویداک سهامی خاص </t>
  </si>
  <si>
    <t>گرگان،15 کیلومتر جاده گرگان،علی آباد،پشت کارخانه آرد زاهدی،شرکت کشاوورزی و دام و طیور پرواز گلستان سهامی خاص</t>
  </si>
  <si>
    <t>گرگان، خ : جمهوری اسلامی،ابتدای بلوار، 30 متری رسالت،شرکت تولیدی ظروف استیل و لولزم خانگی انصار گرگان -سهامی خاص</t>
  </si>
  <si>
    <t>کرمان، شهر سیرجان،کارخانه واقع  در منطقه ویژه تجاری</t>
  </si>
  <si>
    <t>شیراز - میدان ابوالکلام - بلوار جمهوری - کوچه یک فرعی ۱/۳ سمت راست، دومین پلاک</t>
  </si>
  <si>
    <t>شیراز - میدان ابوالکلام - کوچه ۲ شهید ربانی، کوچه یک شهید سرپرست، ساختمان زیوار (نبش چهارراه - طبقه ۴</t>
  </si>
  <si>
    <t xml:space="preserve">شیراز، شهرک ولیعصر، بلوار فدک، کوچه ۱۱ فدک، پلاک ساختمان سایدا ۳، طبقه ۲، واحد ۱۰ </t>
  </si>
  <si>
    <t>ساختمان ۶ (BLdg 6)</t>
  </si>
  <si>
    <t>آپارتمان (مغازه)</t>
  </si>
  <si>
    <t>باغ</t>
  </si>
  <si>
    <t>۱۳۳ * آپارتمان (FLAT * 133)</t>
  </si>
  <si>
    <t>ساختمان</t>
  </si>
  <si>
    <t>۱۰* آپارتمان</t>
  </si>
  <si>
    <t>۲* آپارتمان</t>
  </si>
  <si>
    <t>هتل</t>
  </si>
  <si>
    <t>رستوران</t>
  </si>
  <si>
    <t>کارخانه - زمین</t>
  </si>
  <si>
    <t>کارگاه</t>
  </si>
  <si>
    <t>شماره</t>
  </si>
  <si>
    <t>نام مشتری</t>
  </si>
  <si>
    <t>نوع</t>
  </si>
  <si>
    <t>عمر/سن (ساختمان)</t>
  </si>
  <si>
    <t>مساحت زمین (م۲)</t>
  </si>
  <si>
    <t>بررسی زیرساخت (CNBC)</t>
  </si>
  <si>
    <t>ارزیابی ملک / برآورد نوامبر ۲۰۲۴ (مبلغ: درهم امارات)</t>
  </si>
  <si>
    <t>شیراز، بلوار رحمت، کوچه 13، پلاک 205 ساختمان جم، طبقه 4 واحد 6</t>
  </si>
  <si>
    <t>شیراز، معالی آباد، گلدشت، نسترن ۲، کوچه ۴، پلاک ۲۵۷ - طبقه همکف</t>
  </si>
  <si>
    <t>شیراز، معالی آباد، گلدشت، نسترن ۲، کوچه ۴، پلاک ۲۵۷- طبقه 1</t>
  </si>
  <si>
    <t>شیراز، معالی آباد، گلدشت، نسترن ۲، کوچه ۴، پلاک ۲۵۷- طبقه 2</t>
  </si>
  <si>
    <t>تهران- جاده مخصوص تهران کرج- مقابل پل فرودگاه- خیابان ریاحی- پلاک شهرداری 21(29 سابق)- مجتمع مسکونی گلدیس ورودی یا بلوک شماره 2 طبقه اول- سمت جنوب شرق -شماره 18</t>
  </si>
  <si>
    <t>تهران- خیابان ولیعصر- خیابان محمودیه - کوچه صفای اصفهانی- پلاک 28 طبقه 4</t>
  </si>
  <si>
    <r>
      <t>پونک -اشرفی اصفهانی-خیابان 22 بهمن-خیابان اکبری- برج آ</t>
    </r>
    <r>
      <rPr>
        <sz val="10"/>
        <rFont val="B Nazanin"/>
        <charset val="178"/>
      </rPr>
      <t>رمان-طبقه 25 -واحد 2528</t>
    </r>
  </si>
  <si>
    <t>6933/25933 (واحد2)</t>
  </si>
  <si>
    <t>6933/25933 (واحد 3)</t>
  </si>
  <si>
    <t>6933/25933 (واحد 4)</t>
  </si>
  <si>
    <t xml:space="preserve">بخش 12 تهران-شهرک صنعتی شمس آباد-بلوار بهارستان- بلوار نگارستان- کوچه گلشن 12- پلاک 18 </t>
  </si>
  <si>
    <t>تهران-بخش 11- خ شیراز شمالی-نبش کوچه غفوری- پ 19-مساحت 149 م.م. شش دانگ آپارتمان طبقه دوم-</t>
  </si>
  <si>
    <t xml:space="preserve">تهران ولیعصر- ابتدای خ فرشته- کوچه شهید اخگری- کوچه آناهیتا- شماره 6- مساحت 193.60 م.م. </t>
  </si>
  <si>
    <t xml:space="preserve">تهران ولیعصر- ابتدای خ فرشته- کوچه شهید اخگری- کوچه آناهیتا- شماره 6- مساحت 196.10 م.م. </t>
  </si>
  <si>
    <t>تهران شمیرانات تجریش- خ ولیعصر- شمال پل مدرس خ شهید فیاض بخش خ شهید اخگری پ 6. مساحت 195.3 م.م.</t>
  </si>
  <si>
    <t>تهران نیاوران- خ باهنر- بعد از پمپ بنزین- خیابان مینا- نبش کوچه آبکوه ششم- پلاک 2</t>
  </si>
  <si>
    <t>تهران - شمیران- جعفر آباد بخش 11خ دربند - خ گلدره- کوچه محبیان- پلاک 2.</t>
  </si>
  <si>
    <t>تهران- بخش 11-ساختمان اداری شرکت هواپیمایی ماهان- بزرگراه محمد علی جناه-  خ آزادگان- پلاک 5.</t>
  </si>
  <si>
    <t>تهران- میدان هروی- خیابان گلزار- کوچه سوم مروارید-پ 15- واحد 17</t>
  </si>
  <si>
    <t>ششدانگ یک دستگاه آپارتمان  به مساحت 115.5 م.م. حوزه ثبت شمالشرق تهران - قائم مقام فراهانی- کوچه شهید میرزا حسنی- پلاک 11 واحد اول جنوبی</t>
  </si>
  <si>
    <t>هشت قطعه زمین بعلاوه اعیان از مجتمع صنعتی کارخانه روغن نباتی ناب - تهران بخش 11- جوادیه تهرانپارس انتهای بلوار جشنواره نبش خ میوه چی-مساحت کلی 24237 م.م.</t>
  </si>
  <si>
    <t xml:space="preserve"> تهران، بخش یازده حوزه ثبتی شمیران، خیابان ولیعصر بالاتر از پارک وی، نبش خیابان خیام پلاک های 3 و 5)</t>
  </si>
  <si>
    <t>بخش 11 تهران- خ.پاسداران- خ گلستان 6 پلاک 9- مساحت کل زیربنا 645.50 م.م.</t>
  </si>
  <si>
    <t>وثیقه ملکی به مالکیت خانم فاطمه شاهدی ششدانگ یکدستگاه آپارتمان 168 متری واقع در تهران، قیطریه ضلع جنوبی پارک قیطریه، خ 35 متری، پلاک 5، طبقه 2 شمالی</t>
  </si>
  <si>
    <t>تهران خ میرزای شیرازی- خ سیزدهم- نبش کوچه گیلان- پلاک 56/2  به مساحت 419.2 م.م. بخش 2 تهران</t>
  </si>
  <si>
    <t>تهران بخش 5-  خ شاهپور-خ وحدت اسلامی- جنب بیمارستان رازی- کوچه زاهذی بن بست اول پلاک 42</t>
  </si>
  <si>
    <t>تهران بخش 9- آپارتمان به مساحت 48 م.م. خ پانزده خرداد روبروی پله های نوروزخان- انتهای کوچه همایون ساختمان زندیه- پلاک 2/3</t>
  </si>
  <si>
    <t>یک قطعه زمین-پلاک 18 مقابل باشگاه آرارات  سند رسمی 42593</t>
  </si>
  <si>
    <t>تهران-لاله زار جنوبی-کوچه شهید شاهچراغی-پاساژ پانیز - متراژ 254 م. م. واحد 302 طبقه تجاری اداری</t>
  </si>
  <si>
    <t>تهران- بزرگراه چمران- جنب پمپ بنزین ولنجک، خیابان شادآور، کوچه دوم شرقی پلاک 1.
واحد مسکونی به مساحت 62/269 م. م.</t>
  </si>
  <si>
    <t>تهران- خ شریعتی- خ خاقانی- بن بست حاتمی- پلاک 3</t>
  </si>
  <si>
    <t>تهران- بلوار فردوسی- خ پروانه جنوبی- خ 26 پلاک آبی 24</t>
  </si>
  <si>
    <t>تهران- شاد آباد- خیابان سعیدآباد-بازار آهن- مجتمع تجاری بهاران 1- بلوک 31- طبقه 1</t>
  </si>
  <si>
    <t xml:space="preserve"> تهران، قلهک، بخش 11 تهران، میدان نو بنیاد، پاسداران شمالی  کوچه رز پلاک 3، واحد 3  </t>
  </si>
  <si>
    <t>شیراز- خ قصرالدشت-ضلع شرقی خ قم آباد- بخش چهار شیراز</t>
  </si>
  <si>
    <t xml:space="preserve">عرصه و اعیان شرکت فرآوری ساخت قطعات خودرو به شماره پلاک 127/31 واقع در شهرک صنعتی رشت </t>
  </si>
  <si>
    <t>جزیره قشم- شهرک سام و زال- قطعه 12-224 انتهای خ شکوفه 5</t>
  </si>
  <si>
    <t>مازاد کارخانه با ماشین آلات شرکت فرآوری ساخت قطعات خودرو به پلاک 127/31</t>
  </si>
  <si>
    <t>کارخانه و ماشین آلات شرکت پایا کلاچ(50%) به شماره پلاک 373/31 واقع در  شهرک صنعتی رشت،</t>
  </si>
  <si>
    <t>کرمانشاه جوانرود،خیابان معلم- کوی هانیه 2</t>
  </si>
  <si>
    <t>بندر لنگه- کوی حسین آباد شمالی- قطعه 128- بخش 24</t>
  </si>
  <si>
    <t>بندر انزلی- خیابان ساحلی کاسپین شرقی-نبش خ ده متری پانزدهم- ویلای 481</t>
  </si>
  <si>
    <t xml:space="preserve">هرمزگان بندر عباس بخش دو- خ صمدو بلوار امام با مساحت 11225 متر </t>
  </si>
  <si>
    <t xml:space="preserve">ساری - محمود آباد- سرخرود-بلوار بابلسر- (بهار) کوچه گل مریم- طبقه 5. </t>
  </si>
  <si>
    <t>بندر انزلی- دهکده ساحلی- خ آزادی  (کاسپین) شرقی-  خ یازدهم- پلاک 333</t>
  </si>
  <si>
    <t>بندر انزلی- دهکده ساحلی- خ آزادی  (کاسپین) غربی- پلاک 534</t>
  </si>
  <si>
    <t>اصفهان-خیابان احمدآباد- خ گلزار-پلک 24</t>
  </si>
  <si>
    <t>جهرم، شهرک انقلاب، خیابان صدا و سیما، کوچه ۱۱</t>
  </si>
  <si>
    <t>تهران بخش 8 میدان محمدیه مولوی کوچه شهید امیر سام زاده پلاک 6</t>
  </si>
  <si>
    <t>بخش 4 ساوه- زرندیه- مامونید خشکرود- کیلومتر 25 بعد از مامونید )</t>
  </si>
  <si>
    <t xml:space="preserve">آپارتمان واحد غربی واقع در طبقه اول به مساحت 34/113 متر مربع واقع در بخش یک بندرعباس محله سید کامل کوچه آلاله 14 </t>
  </si>
  <si>
    <t>تهران، تجریش، خیابان ولیعصر، خیابان قلمستان کوچه بهمن پلاک 4</t>
  </si>
  <si>
    <t>ضلع جنوبی بزرگراه کرج ، شهرک آپادانا ، خیابان کمربندی ، کوی نسترن ، بلوک 4 ، ورودی 2</t>
  </si>
  <si>
    <t xml:space="preserve">اشرفی اصفهانی ، نرسیده به فلکه پونک ، بلوار مخبری (35 متری گلستان)پلاک آبی 18 </t>
  </si>
  <si>
    <t>خیابان آذربایجان ، خیابان آژیده ، پلاک آبی 16</t>
  </si>
  <si>
    <t xml:space="preserve">بندر انزلی ، میدان امام خمینی ، نبش خیابان آیت الله مطهری </t>
  </si>
  <si>
    <t>حسن رود ، لیجارکی ، بعد از شهرک صنعتی ، جنب رستوران جلگه ، بر اصلی جاده رشت به انزلی</t>
  </si>
  <si>
    <t>جزیره کیش ، خیابان تهران ، خیابان جاجرود ، خیابان هزاره سوم فاز 5  پلاک 22</t>
  </si>
  <si>
    <t>بندر انزلی ، محور جاده انزلی به رضوانشهر ، نرسیده به آبکنار سنگاچین ، پائین محله ، رستوران صدف</t>
  </si>
  <si>
    <t xml:space="preserve">بندر انزلی ، غازیان ، بلوار ورودی(بلوارامام)روبروی انتهای دهکده ساحلی بر بلوار جنب </t>
  </si>
  <si>
    <t>نیاوران ، جنب پمپ بنزین ، کوچه مینا ، انتهای مینا وپورداد ، پلاک 2</t>
  </si>
  <si>
    <t>شهرک اکباتان ، فاز 1 ، بلوک B3 ، ورودی 13 ، طبقه 8 ، آپارتمان شماره 428</t>
  </si>
  <si>
    <t>استاد حسن بنا، ابوالحسنی،
میدان شهید بهشتی، خیابان ولی زاده ( نهاندست)، پلاک 54-مجتمع سبز</t>
  </si>
  <si>
    <t>تهران- خیابان نجات الهی قبل از بلوار کریم خان زند- کوچه اردشیر ارشد- مجتمع مسکونی سپندار- پلاک 5 واحد 47</t>
  </si>
  <si>
    <t>شهریار ، شهرک اندیشه، 
فاز 4، شمال میدان شهدای گمنام
مجتمع جامع معلولین، بلوک غربی،طبقه اول،واحد شرق</t>
  </si>
  <si>
    <t>شهریار ، شهرک اندیشه، 
فاز 4، شمال میدان شهدای گمنام
مجتمع جامع معلولین،بلوک میانی،طبقه اول،واحد غرب</t>
  </si>
  <si>
    <t>شهریار ، شهرک اندیشه، 
فاز 4، شمال میدان شهدای گمنام
مجتمع جامع معلولین،بلوک میانی،طبقه اول، واحد شرق</t>
  </si>
  <si>
    <t>شهریار ، شهرک اندیشه، 
فاز 4، شمال میدان شهدای گمنام
مجتمع جامع معلولین،بلوک شرقی،طبقه اول،واحد غرب</t>
  </si>
  <si>
    <t>شهریار ، شهرک اندیشه، 
فاز 4، شمال میدان شهدای گمنام
مجتمع جامع معلولین،بلوک غربی،طبقه اول،واحد غرب</t>
  </si>
  <si>
    <t>شهریار ، شهرک اندیشه، 
فاز 4، شمال میدان شهدای گمنام
مجتمع جامع معلولین،بلوک میانی،طبقه همکف،واحد شرق</t>
  </si>
  <si>
    <t>شهریار ، شهرک اندیشه، 
فاز 4، شمال میدان شهدای گمنام
مجتمع جامع معلولین،بلوک غربی،طبقه همکف،واحد شمال</t>
  </si>
  <si>
    <t>شهریار ، شهرک اندیشه، 
فاز 4، شمال میدان شهدای گمنام
مجتمع جامع معلولین، بلوک میانی،طبقه همکف،واحد غرب</t>
  </si>
  <si>
    <t>شهریار ، شهرک اندیشه، 
فاز 4، شمال میدان شهدای گمنام
مجتمع جامع معلولین،بلوک شرقی،طبقه همکف،واحد غرب</t>
  </si>
  <si>
    <t>شهریار ، شهرک اندیشه، 
فاز 4، شمال میدان شهدای گمنام
مجتمع جامع معلولین،بلوک شرقی،طبقه همکف،واحد شمال</t>
  </si>
  <si>
    <t>شهریار ، شهرک اندیشه، 
فاز 4، شمال میدان شهدای گمنام
مجتمع جامع معلولین،بلوک شرقی،طبقه سوم،واحد شرق</t>
  </si>
  <si>
    <t>شهریار ، شهرک اندیشه، 
فاز 4، شمال میدان شهدای گمنام
مجتمع جامع معلولین،بلوک غربی،طبقه سوم،واحد شرق</t>
  </si>
  <si>
    <t>شهریار ، شهرک اندیشه، 
فاز 4، شمال میدان شهدای گمنام
مجتمع جامع معلولین،بلوک غربی،طبقه همکف، واحد غرب</t>
  </si>
  <si>
    <t>شهریار ، شهرک اندیشه، 
فاز 4، شمال میدان شهدای گمنام
مجتمع جامع معلولین،بلوک میانی،طبقه طبقه سوم،واحد شرق</t>
  </si>
  <si>
    <t>شهریار ، شهرک اندیشه، 
فاز 4، شمال میدان شهدای گمنام
مجتمع جامع معلولین،بلوک میانی،طبقه طبقه دوم،واحد شرق</t>
  </si>
  <si>
    <t>شهریار ، شهرک اندیشه، 
فاز 4، شمال میدان شهدای گمنام
مجتمع جامع معلولین،بلوک غربی،طبقه دوم، واحد غرب</t>
  </si>
  <si>
    <t>شهریار ، شهرک اندیشه، 
فاز 4، شمال میدان شهدای گمنام
مجتمع جامع معلولین،بلوک میانی،طبقه طبقه دوم،واحد غرب</t>
  </si>
  <si>
    <t>شهریار ، شهرک اندیشه، 
فاز 4، شمال میدان شهدای گمنام
مجتمع جامع معلولین،بلوک غربی،طبقه دوم، واحد شرق</t>
  </si>
  <si>
    <t>شهریار ، شهرک اندیشه، 
فاز 4، شمال میدان شهدای گمنام
مجتمع جامع معلولین،بلوک شرقی،طبقه اول،واحد شرق</t>
  </si>
  <si>
    <t>شهریار ، شهرک اندیشه، 
فاز 4، شمال میدان شهدای گمنام
مجتمع جامع معلولین،بلوک شرقی،طبقه سوم،واحد غرب</t>
  </si>
  <si>
    <t>شهریار ، شهرک اندیشه، 
فاز 4، شمال میدان شهدای گمنام
مجتمع جامع معلولین،بلوک میانی،طبقه طبقه سوم،واحد غرب</t>
  </si>
  <si>
    <t>شهریار ، شهرک اندیشه، 
فاز 4، شمال میدان شهدای گمنام
مجتمع جامع معلولین،بلوک غربی،طبقه سوم، واحد غرب</t>
  </si>
  <si>
    <t xml:space="preserve">شهریار ، شهرک اندیشه، 
فاز 4، شمال میدان شهدای گمنام
مجتمع جامع معلولین،بلوک شرقی،طبقه دوم،واحد شرق </t>
  </si>
  <si>
    <t>شهریار ، شهرک اندیشه، 
فاز 4، شمال میدان شهدای گمنام
مجتمع جامع معلولین،بلوک شرقی،طبقه دوم،واحد غرب</t>
  </si>
  <si>
    <t>سرخ رود، بلوار دریا ، 
کوی مریم ،طبقه اول،واحد شمالی</t>
  </si>
  <si>
    <t>سرخ رود،  بلوار دریا، 
کوی مریم ،طبقه اول،واحد میانی</t>
  </si>
  <si>
    <t>سرخ رود،  بلوار دریا، 
کوی مریم ،طبقه اول،واحد جنوبی</t>
  </si>
  <si>
    <t>سرخ رود،  بلوار دریا، 
کوی مریم ،طبقه دوم،واحد شمالی</t>
  </si>
  <si>
    <t>سرخ رود،  بلوار دریا، 
کوی مریم ،طبقه دوم ، واحد میانی</t>
  </si>
  <si>
    <t>سرخ رود،  بلوار دریا، 
کوی مریم ،طبقه دوم ،واحد جنوبی</t>
  </si>
  <si>
    <t>سرخ رود، بلوار بهار، 
کوی مریم ،طبقه سوم ،واحد شمالی</t>
  </si>
  <si>
    <t>سرخ رود، بلوار بهار، 
کوی مریم ،طبقه سوم،واحد میانی</t>
  </si>
  <si>
    <t>سرخ رود، بلوار بهار، 
کوی مریم ،طبقه سوم ،واحد جنوبی</t>
  </si>
  <si>
    <t>بندر انزلی،بلوار پاسداران،
بعد از دانشگاه علمی کاربردی جهاد دانشگاهی،روبروی کمپ نیروی دریایی،مجتمع مسکونی یاسین،طبقه اول - واحد غربی</t>
  </si>
  <si>
    <t xml:space="preserve">بندر انزلی،بلوار پاسداران،
بعد از دانشگاه علمی کاربردی جهاد دانشگاهی،روبروی کمپ نیروی دریایی،مجتمع مسکونی یاسین،طبقه دوم، واحد شرقی </t>
  </si>
  <si>
    <t xml:space="preserve">بندر انزلی،بلوار پاسداران،
بعد از دانشگاه علمی کاربردی جهاد دانشگاهی،روبروی کمپ نیروی دریایی،مجتمع مسکونی یاسین،طبقه اول،واحد شمالی </t>
  </si>
  <si>
    <t>بندر انزلی،بلوار پاسداران،
بعد از دانشگاه علمی کاربردی جهاد دانشگاهی،روبروی کمپ نیروی دریایی،مجتمع مسکونی یاسین،طبقه 4-واحد غربی</t>
  </si>
  <si>
    <t>بندر انزلی،بلوار پاسداران،
بعد از دانشگاه علمی کاربردی جهاد دانشگاهی،روبروی کمپ نیروی دریایی،مجتمع مسکونی یاسین،طبقه اول ،واحد شرقی</t>
  </si>
  <si>
    <t>بندر انزلی،بلوار پاسداران،
بعد از دانشگاه علمی کاربردی جهاد دانشگاهی،روبروی کمپ نیروی دریایی،مجتمع مسکونی یاسین،طبقه اول ،واحد شمالی</t>
  </si>
  <si>
    <t>بندر انزلی،بلوار پاسداران،
بعد از دانشگاه علمی کاربردی جهاد دانشگاهی،روبروی کمپ نیروی دریایی،مجتمع مسکونی یاسین،طبقه 4،واحد شرقی</t>
  </si>
  <si>
    <t xml:space="preserve">آمل،خ:امام رضا،انتهای کوچه سیکا پل،انتهای کوی یگانه ،کوی رحیمی(رضوان 39) ،جنب شهرک مروارید، کد پستی 76111-46138 </t>
  </si>
  <si>
    <t>شهرک دهنو(اراضی قریه دهنو) ، کوچه بوستان ،بن بست گلزار 4- پلاک 94- (بخش یک قشلاقی کران، حوزه ثبت نوشهر)</t>
  </si>
  <si>
    <t>استان البرز شهر کرج- صفا دشت– جاده شهریار بامردآباد- روبروی شهرداری- جاده سلیمان-قواره دوم</t>
  </si>
  <si>
    <t>شهر جهرم - بخش مرکزی - محله خارقان - خیابان حرم تا حرم - میدان رحمت - بل 61 متری جدید الاحداث - 20 متری امام حسن (ع) - پلاک 0 - طبقه همکف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</si>
  <si>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</si>
  <si>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</si>
  <si>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</si>
  <si>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</si>
  <si>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</si>
  <si>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</si>
  <si>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</si>
  <si>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</si>
  <si>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</si>
  <si>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</si>
  <si>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</si>
  <si>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</si>
  <si>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</si>
  <si>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</si>
  <si>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</si>
  <si>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</si>
  <si>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</si>
  <si>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</si>
  <si>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</si>
  <si>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</si>
  <si>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</si>
  <si>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</si>
  <si>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</si>
  <si>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</si>
  <si>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</si>
  <si>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</si>
  <si>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</si>
  <si>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</si>
  <si>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</si>
  <si>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</si>
  <si>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</si>
  <si>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</si>
  <si>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</si>
  <si>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</si>
  <si>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</si>
  <si>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</si>
  <si>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</si>
  <si>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</si>
  <si>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</si>
  <si>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</si>
  <si>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</si>
  <si>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</si>
  <si>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</si>
  <si>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</si>
  <si>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</si>
  <si>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</si>
  <si>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</si>
  <si>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</si>
  <si>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</si>
  <si>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</si>
  <si>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</si>
  <si>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</si>
  <si>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</si>
  <si>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</si>
  <si>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</si>
  <si>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</si>
  <si>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</si>
  <si>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</si>
  <si>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</si>
  <si>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</si>
  <si>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</si>
  <si>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</si>
  <si>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</si>
  <si>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</si>
  <si>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</si>
  <si>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</si>
  <si>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</si>
  <si>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</si>
  <si>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</si>
  <si>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</si>
  <si>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</si>
  <si>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</si>
  <si>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</si>
  <si>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</si>
  <si>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</si>
  <si>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</si>
  <si>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</si>
  <si>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</si>
  <si>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</si>
  <si>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</si>
  <si>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</si>
  <si>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</si>
  <si>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</si>
  <si>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</si>
  <si>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</si>
  <si>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</si>
  <si>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</si>
  <si>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</si>
  <si>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</si>
  <si>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</si>
  <si>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</si>
  <si>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</si>
  <si>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</si>
  <si>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</si>
  <si>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</si>
  <si>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</si>
  <si>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</si>
  <si>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</si>
  <si>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</si>
  <si>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</si>
  <si>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</si>
  <si>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</si>
  <si>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</si>
  <si>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</si>
  <si>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</si>
  <si>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</si>
  <si>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</si>
  <si>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</si>
  <si>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</si>
  <si>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</si>
  <si>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</si>
  <si>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</si>
  <si>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</si>
  <si>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</si>
  <si>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</si>
  <si>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</si>
  <si>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</si>
  <si>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</si>
  <si>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</si>
  <si>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</si>
  <si>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</si>
  <si>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r>
      <t xml:space="preserve">12/886 </t>
    </r>
    <r>
      <rPr>
        <sz val="8"/>
        <color theme="1"/>
        <rFont val="B Nazanin"/>
        <charset val="178"/>
      </rPr>
      <t>&amp;</t>
    </r>
    <r>
      <rPr>
        <sz val="10"/>
        <color theme="1"/>
        <rFont val="B Nazanin"/>
        <charset val="178"/>
      </rPr>
      <t xml:space="preserve"> 12/885</t>
    </r>
  </si>
  <si>
    <t>تاریخ انقضای بیمه نامه</t>
  </si>
  <si>
    <t>01/10/1404</t>
  </si>
  <si>
    <t>28/09/1404</t>
  </si>
  <si>
    <t>شماره بیمه نامه</t>
  </si>
  <si>
    <t>شماره پلاک ثبتی</t>
  </si>
  <si>
    <t>شماره سند رهنی</t>
  </si>
  <si>
    <t>تاریخ آخرین ارزیابی</t>
  </si>
  <si>
    <t>تاریخ ترهین</t>
  </si>
  <si>
    <t>مبلغ ترهین - درهم</t>
  </si>
  <si>
    <t>مبلغ ترهین - ریال</t>
  </si>
  <si>
    <t>5,800,000,000.00  IRR</t>
  </si>
  <si>
    <t>05/11/1404</t>
  </si>
  <si>
    <t>PROP_IRN_BSI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</si>
</sst>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_-* #,##0.00_-;_-* #,##0.00\-;_-* &quot;-&quot;??_-;_-@_-"/>
    <numFmt numFmtId="168" formatCode="[$-160429]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8"/>
      <color indexed="8"/>
      <name val="Times New Roman"/>
      <family val="1"/>
    </font>
    <font>
      <sz val="10"/>
      <name val="B Nazanin"/>
      <charset val="178"/>
    </font>
    <font>
      <b/>
      <sz val="8"/>
      <color theme="1"/>
      <name val="B Nazanin"/>
      <charset val="178"/>
    </font>
    <font>
      <sz val="11"/>
      <color theme="1"/>
      <name val="B Nazanin"/>
      <charset val="178"/>
    </font>
    <font>
      <sz val="8"/>
      <name val="B Nazanin"/>
      <charset val="178"/>
    </font>
    <font>
      <sz val="8"/>
      <color indexed="8"/>
      <name val="B Nazanin"/>
      <charset val="178"/>
    </font>
    <font>
      <sz val="10"/>
      <color indexed="8"/>
      <name val="B Nazanin"/>
      <charset val="178"/>
    </font>
    <font>
      <sz val="10"/>
      <color theme="1"/>
      <name val="B Nazanin"/>
      <charset val="178"/>
    </font>
    <font>
      <b/>
      <sz val="8"/>
      <name val="B Nazanin"/>
      <charset val="178"/>
    </font>
    <font>
      <b/>
      <sz val="8"/>
      <color indexed="8"/>
      <name val="B Nazanin"/>
      <charset val="178"/>
    </font>
    <font>
      <sz val="10"/>
      <color rgb="FF000000"/>
      <name val="B Nazanin"/>
      <charset val="178"/>
    </font>
    <font>
      <sz val="9"/>
      <color theme="1"/>
      <name val="B Nazanin"/>
      <charset val="178"/>
    </font>
    <font>
      <sz val="8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</cellStyleXfs>
  <cellXfs count="90">
    <xf numFmtId="0" fontId="0" fillId="0" borderId="0" xfId="0"/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13" fillId="2" borderId="1" xfId="2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 wrapText="1"/>
      <protection locked="0"/>
    </xf>
    <xf numFmtId="0" fontId="12" fillId="2" borderId="1" xfId="2" applyFont="1" applyFill="1" applyBorder="1" applyAlignment="1" applyProtection="1">
      <alignment horizontal="center" vertical="center" wrapText="1"/>
      <protection locked="0"/>
    </xf>
    <xf numFmtId="0" fontId="12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Border="1" applyAlignment="1" applyProtection="1">
      <alignment horizontal="center" vertical="center" wrapText="1"/>
      <protection locked="0"/>
    </xf>
    <xf numFmtId="3" fontId="1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164" fontId="11" fillId="2" borderId="0" xfId="1" applyFont="1" applyFill="1" applyBorder="1" applyAlignment="1" applyProtection="1">
      <alignment horizontal="center" vertical="center" wrapText="1"/>
      <protection locked="0"/>
    </xf>
    <xf numFmtId="49" fontId="1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2" applyFont="1" applyFill="1" applyBorder="1" applyAlignment="1" applyProtection="1">
      <alignment horizontal="center" vertical="center" wrapText="1"/>
      <protection locked="0"/>
    </xf>
    <xf numFmtId="0" fontId="13" fillId="0" borderId="1" xfId="2" applyFont="1" applyFill="1" applyBorder="1" applyAlignment="1" applyProtection="1">
      <alignment horizontal="center" vertical="center" wrapText="1"/>
      <protection locked="0"/>
    </xf>
    <xf numFmtId="3" fontId="13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2" applyNumberFormat="1" applyFont="1" applyFill="1" applyBorder="1" applyAlignment="1" applyProtection="1">
      <alignment horizontal="center" vertical="center" wrapText="1"/>
      <protection locked="0"/>
    </xf>
    <xf numFmtId="17" fontId="13" fillId="0" borderId="1" xfId="2" applyNumberFormat="1" applyFont="1" applyFill="1" applyBorder="1" applyAlignment="1" applyProtection="1">
      <alignment horizontal="center" vertical="center" wrapText="1"/>
      <protection locked="0"/>
    </xf>
    <xf numFmtId="49" fontId="13" fillId="0" borderId="1" xfId="2" applyNumberFormat="1" applyFont="1" applyFill="1" applyBorder="1" applyAlignment="1" applyProtection="1">
      <alignment horizontal="center" vertical="center" wrapText="1"/>
      <protection locked="0"/>
    </xf>
    <xf numFmtId="3" fontId="13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>
      <alignment horizontal="center" vertical="center" wrapText="1"/>
    </xf>
    <xf numFmtId="3" fontId="8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 wrapText="1"/>
    </xf>
    <xf numFmtId="3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5" applyFont="1" applyFill="1" applyBorder="1" applyAlignment="1" applyProtection="1">
      <alignment horizontal="center" vertical="center" wrapText="1"/>
      <protection locked="0"/>
    </xf>
    <xf numFmtId="0" fontId="13" fillId="0" borderId="1" xfId="5" applyFont="1" applyFill="1" applyBorder="1" applyAlignment="1" applyProtection="1">
      <alignment horizontal="center" vertical="center" wrapText="1"/>
      <protection locked="0"/>
    </xf>
    <xf numFmtId="3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4" fontId="8" fillId="0" borderId="1" xfId="0" applyNumberFormat="1" applyFont="1" applyFill="1" applyBorder="1" applyAlignment="1">
      <alignment horizontal="center" vertical="center" wrapText="1"/>
    </xf>
    <xf numFmtId="167" fontId="8" fillId="0" borderId="1" xfId="1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67" fontId="13" fillId="2" borderId="1" xfId="1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 applyProtection="1">
      <alignment horizontal="center" vertical="center" wrapText="1"/>
    </xf>
    <xf numFmtId="0" fontId="8" fillId="0" borderId="1" xfId="1" applyNumberFormat="1" applyFont="1" applyFill="1" applyBorder="1" applyAlignment="1" applyProtection="1">
      <alignment horizontal="center" vertical="center" wrapText="1"/>
    </xf>
    <xf numFmtId="49" fontId="8" fillId="2" borderId="1" xfId="1" applyNumberFormat="1" applyFont="1" applyFill="1" applyBorder="1" applyAlignment="1" applyProtection="1">
      <alignment horizontal="center" vertical="center" wrapText="1"/>
    </xf>
    <xf numFmtId="0" fontId="8" fillId="2" borderId="1" xfId="1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67" fontId="13" fillId="0" borderId="1" xfId="1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4" fontId="8" fillId="0" borderId="1" xfId="1" applyFont="1" applyFill="1" applyBorder="1" applyAlignment="1" applyProtection="1">
      <alignment horizontal="center" vertical="center" wrapText="1"/>
    </xf>
    <xf numFmtId="164" fontId="8" fillId="2" borderId="1" xfId="1" applyFont="1" applyFill="1" applyBorder="1" applyAlignment="1" applyProtection="1">
      <alignment horizontal="center" vertical="center" wrapText="1"/>
    </xf>
    <xf numFmtId="166" fontId="8" fillId="0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3" borderId="1" xfId="2" applyFont="1" applyFill="1" applyBorder="1" applyAlignment="1" applyProtection="1">
      <alignment horizontal="center" vertical="center" wrapText="1"/>
      <protection locked="0"/>
    </xf>
    <xf numFmtId="0" fontId="14" fillId="2" borderId="1" xfId="2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center" vertical="center" wrapText="1"/>
    </xf>
    <xf numFmtId="17" fontId="8" fillId="0" borderId="1" xfId="3" applyNumberFormat="1" applyFont="1" applyFill="1" applyBorder="1" applyAlignment="1">
      <alignment horizontal="center" vertical="center" wrapText="1"/>
    </xf>
    <xf numFmtId="49" fontId="11" fillId="2" borderId="1" xfId="2" applyNumberFormat="1" applyFont="1" applyFill="1" applyBorder="1" applyAlignment="1" applyProtection="1">
      <alignment horizontal="center" vertical="center" wrapText="1"/>
      <protection locked="0"/>
    </xf>
    <xf numFmtId="165" fontId="13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8" fillId="0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3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" xfId="1" applyNumberFormat="1" applyFont="1" applyFill="1" applyBorder="1" applyAlignment="1" applyProtection="1">
      <alignment horizontal="center" vertical="center" wrapText="1"/>
    </xf>
    <xf numFmtId="49" fontId="11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11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2" applyFont="1" applyFill="1" applyBorder="1" applyAlignment="1" applyProtection="1">
      <alignment horizontal="center" vertical="center" wrapText="1"/>
      <protection locked="0"/>
    </xf>
    <xf numFmtId="0" fontId="8" fillId="4" borderId="1" xfId="2" applyFont="1" applyFill="1" applyBorder="1" applyAlignment="1" applyProtection="1">
      <alignment horizontal="center" vertical="center" wrapText="1"/>
      <protection locked="0"/>
    </xf>
    <xf numFmtId="0" fontId="13" fillId="4" borderId="1" xfId="2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>
      <alignment horizontal="center" vertical="center" wrapText="1"/>
    </xf>
    <xf numFmtId="3" fontId="8" fillId="4" borderId="1" xfId="1" applyNumberFormat="1" applyFont="1" applyFill="1" applyBorder="1" applyAlignment="1" applyProtection="1">
      <alignment horizontal="center" vertical="center" wrapText="1"/>
      <protection locked="0"/>
    </xf>
    <xf numFmtId="165" fontId="13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2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4" borderId="1" xfId="2" applyFont="1" applyFill="1" applyBorder="1" applyAlignment="1" applyProtection="1">
      <alignment horizontal="center" vertical="center" wrapText="1"/>
      <protection locked="0"/>
    </xf>
    <xf numFmtId="3" fontId="8" fillId="4" borderId="1" xfId="2" applyNumberFormat="1" applyFont="1" applyFill="1" applyBorder="1" applyAlignment="1" applyProtection="1">
      <alignment horizontal="center" vertical="center" wrapText="1"/>
      <protection locked="0"/>
    </xf>
    <xf numFmtId="14" fontId="11" fillId="4" borderId="1" xfId="0" applyNumberFormat="1" applyFont="1" applyFill="1" applyBorder="1" applyAlignment="1" applyProtection="1">
      <alignment horizontal="center" vertical="center" wrapText="1"/>
      <protection locked="0"/>
    </xf>
    <xf numFmtId="168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_Sheet1" xfId="2" xr:uid="{00000000-0005-0000-0000-000004000000}"/>
    <cellStyle name="Normal_Sheet1 2" xfId="5" xr:uid="{00000000-0005-0000-0000-000005000000}"/>
  </cellStyles>
  <dxfs count="18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Z266"/>
  <sheetViews>
    <sheetView tabSelected="1" zoomScale="130" zoomScaleNormal="130" workbookViewId="0">
      <pane xSplit="3" ySplit="1" topLeftCell="D179" activePane="bottomRight" state="frozen"/>
      <selection pane="topRight" activeCell="D1" sqref="D1"/>
      <selection pane="bottomLeft" activeCell="A2" sqref="A2"/>
      <selection pane="bottomRight" activeCell="D179" sqref="D179"/>
    </sheetView>
  </sheetViews>
  <sheetFormatPr defaultColWidth="17.42578125" defaultRowHeight="13.5" x14ac:dyDescent="0.25"/>
  <cols>
    <col min="1" max="1" width="4.5703125" style="16" bestFit="1" customWidth="1"/>
    <col min="2" max="2" width="8.85546875" style="12" bestFit="1" customWidth="1"/>
    <col min="3" max="3" width="19.42578125" style="14" customWidth="1"/>
    <col min="4" max="4" width="21.140625" style="12" bestFit="1" customWidth="1"/>
    <col min="5" max="5" width="21.140625" style="12" customWidth="1"/>
    <col min="6" max="6" width="6.140625" style="12" customWidth="1"/>
    <col min="7" max="7" width="17.5703125" style="12" bestFit="1" customWidth="1"/>
    <col min="8" max="8" width="15.85546875" style="12" bestFit="1" customWidth="1"/>
    <col min="9" max="9" width="17.85546875" style="12" bestFit="1" customWidth="1"/>
    <col min="10" max="10" width="12.42578125" style="13" bestFit="1" customWidth="1"/>
    <col min="11" max="11" width="21.140625" style="13" bestFit="1" customWidth="1"/>
    <col min="12" max="12" width="18.85546875" style="15" customWidth="1"/>
    <col min="13" max="13" width="17.42578125" style="12"/>
    <col min="14" max="14" width="19.85546875" style="12" customWidth="1"/>
    <col min="15" max="17" width="17.42578125" style="12"/>
    <col min="18" max="19" width="17.42578125" style="14"/>
    <col min="20" max="701" width="17.42578125" style="12"/>
    <col min="702" max="702" width="0" style="12" hidden="1" customWidth="1"/>
    <col min="703" max="16384" width="17.42578125" style="12"/>
  </cols>
  <sheetData>
    <row r="1" spans="1:702" ht="27" x14ac:dyDescent="0.25">
      <c r="A1" s="86" t="s">
        <v>695</v>
      </c>
      <c r="B1" s="56" t="s">
        <v>519</v>
      </c>
      <c r="C1" s="57" t="s">
        <v>696</v>
      </c>
      <c r="D1" s="58" t="s">
        <v>936</v>
      </c>
      <c r="E1" s="58" t="s">
        <v>937</v>
      </c>
      <c r="F1" s="58" t="s">
        <v>566</v>
      </c>
      <c r="G1" s="58" t="s">
        <v>565</v>
      </c>
      <c r="H1" s="58" t="s">
        <v>697</v>
      </c>
      <c r="I1" s="58" t="s">
        <v>698</v>
      </c>
      <c r="J1" s="58" t="s">
        <v>699</v>
      </c>
      <c r="K1" s="58" t="s">
        <v>700</v>
      </c>
      <c r="L1" s="87" t="s">
        <v>701</v>
      </c>
      <c r="M1" s="87" t="s">
        <v>932</v>
      </c>
      <c r="N1" s="87" t="s">
        <v>932</v>
      </c>
      <c r="O1" s="87" t="s">
        <v>935</v>
      </c>
      <c r="P1" s="87" t="s">
        <v>938</v>
      </c>
      <c r="Q1" s="87" t="s">
        <v>939</v>
      </c>
      <c r="R1" s="87" t="s">
        <v>940</v>
      </c>
      <c r="S1" s="87" t="s">
        <v>941</v>
      </c>
      <c r="ZZ1" s="12" t="s">
        <v>944</v>
      </c>
    </row>
    <row r="2" spans="1:702" ht="47.25" x14ac:dyDescent="0.25">
      <c r="A2" s="68" t="s">
        <v>132</v>
      </c>
      <c r="B2" s="82">
        <v>157199</v>
      </c>
      <c r="C2" s="70" t="s">
        <v>146</v>
      </c>
      <c r="D2" s="71" t="s">
        <v>147</v>
      </c>
      <c r="E2" s="71"/>
      <c r="F2" s="72" t="s">
        <v>521</v>
      </c>
      <c r="G2" s="73" t="s">
        <v>674</v>
      </c>
      <c r="H2" s="72" t="s">
        <v>514</v>
      </c>
      <c r="I2" s="71">
        <v>41</v>
      </c>
      <c r="J2" s="83" t="s">
        <v>3</v>
      </c>
      <c r="K2" s="83">
        <v>97.6</v>
      </c>
      <c r="L2" s="75">
        <v>2816000</v>
      </c>
      <c r="M2" s="85" t="s">
        <v>933</v>
      </c>
      <c r="N2" s="84">
        <f t="shared" ref="N2:N65" si="0">_xlfn.LET(
  _xlpm.y,VALUE(RIGHT(M2,4)),
  _xlpm.m,VALUE(MID(M2,4,2)),
  _xlpm.d,VALUE(LEFT(M2,2)),
  _xlpm.doy,IF(_xlpm.m&lt;=6,(_xlpm.m-1)*31+_xlpm.d,186+(_xlpm.m-7)*30+_xlpm.d),
  _xlpm.jdn,1948320+(_xlpm.y-1)*365+INT(((_xlpm.y-1)*8+21)/33)+_xlpm.doy,
  _xlpm.jdn-2415020
)</f>
        <v>46012</v>
      </c>
      <c r="O2" s="65"/>
      <c r="P2" s="65"/>
      <c r="Q2" s="65"/>
      <c r="R2" s="89"/>
      <c r="S2" s="89"/>
    </row>
    <row r="3" spans="1:702" ht="47.25" x14ac:dyDescent="0.25">
      <c r="A3" s="68" t="s">
        <v>218</v>
      </c>
      <c r="B3" s="69">
        <v>301440</v>
      </c>
      <c r="C3" s="70" t="s">
        <v>510</v>
      </c>
      <c r="D3" s="71" t="s">
        <v>238</v>
      </c>
      <c r="E3" s="71"/>
      <c r="F3" s="72" t="s">
        <v>521</v>
      </c>
      <c r="G3" s="73" t="s">
        <v>568</v>
      </c>
      <c r="H3" s="72" t="s">
        <v>514</v>
      </c>
      <c r="I3" s="72">
        <v>10</v>
      </c>
      <c r="J3" s="74">
        <v>354.9</v>
      </c>
      <c r="K3" s="74">
        <v>334</v>
      </c>
      <c r="L3" s="75">
        <v>16210000</v>
      </c>
      <c r="M3" s="85"/>
      <c r="N3" s="84" t="e">
        <f t="shared" si="0"/>
        <v>#VALUE!</v>
      </c>
      <c r="O3" s="65"/>
      <c r="P3" s="65"/>
      <c r="Q3" s="65"/>
      <c r="R3" s="89"/>
      <c r="S3" s="89"/>
    </row>
    <row r="4" spans="1:702" ht="63" x14ac:dyDescent="0.25">
      <c r="A4" s="68" t="s">
        <v>308</v>
      </c>
      <c r="B4" s="69">
        <v>500878</v>
      </c>
      <c r="C4" s="70" t="s">
        <v>327</v>
      </c>
      <c r="D4" s="71" t="s">
        <v>328</v>
      </c>
      <c r="E4" s="71"/>
      <c r="F4" s="72" t="s">
        <v>521</v>
      </c>
      <c r="G4" s="81" t="s">
        <v>546</v>
      </c>
      <c r="H4" s="72" t="s">
        <v>532</v>
      </c>
      <c r="I4" s="71">
        <v>37</v>
      </c>
      <c r="J4" s="74">
        <v>1889</v>
      </c>
      <c r="K4" s="74">
        <v>0</v>
      </c>
      <c r="L4" s="75">
        <v>91550000</v>
      </c>
      <c r="M4" s="88" t="s">
        <v>934</v>
      </c>
      <c r="N4" s="84">
        <f t="shared" si="0"/>
        <v>46009</v>
      </c>
      <c r="O4" s="65"/>
      <c r="P4" s="65"/>
      <c r="Q4" s="65"/>
      <c r="R4" s="89"/>
      <c r="S4" s="89"/>
    </row>
    <row r="5" spans="1:702" ht="47.25" x14ac:dyDescent="0.25">
      <c r="A5" s="62" t="s">
        <v>810</v>
      </c>
      <c r="B5" s="40">
        <v>111150</v>
      </c>
      <c r="C5" s="76" t="s">
        <v>335</v>
      </c>
      <c r="D5" s="41" t="s">
        <v>336</v>
      </c>
      <c r="E5" s="41"/>
      <c r="F5" s="39" t="s">
        <v>520</v>
      </c>
      <c r="G5" s="41" t="s">
        <v>736</v>
      </c>
      <c r="H5" s="41" t="s">
        <v>686</v>
      </c>
      <c r="I5" s="65"/>
      <c r="J5" s="66"/>
      <c r="K5" s="41">
        <v>1175</v>
      </c>
      <c r="L5" s="67">
        <v>65159000</v>
      </c>
      <c r="M5" s="89"/>
      <c r="N5" s="84" t="e">
        <f t="shared" si="0"/>
        <v>#VALUE!</v>
      </c>
      <c r="O5" s="65"/>
      <c r="P5" s="65"/>
      <c r="Q5" s="65"/>
      <c r="R5" s="89"/>
      <c r="S5" s="89" t="s">
        <v>942</v>
      </c>
    </row>
    <row r="6" spans="1:702" ht="47.25" x14ac:dyDescent="0.25">
      <c r="A6" s="62" t="s">
        <v>0</v>
      </c>
      <c r="B6" s="7">
        <v>111714</v>
      </c>
      <c r="C6" s="11" t="s">
        <v>1</v>
      </c>
      <c r="D6" s="18">
        <v>5128</v>
      </c>
      <c r="E6" s="18"/>
      <c r="F6" s="18" t="s">
        <v>521</v>
      </c>
      <c r="G6" s="18" t="s">
        <v>750</v>
      </c>
      <c r="H6" s="18" t="s">
        <v>532</v>
      </c>
      <c r="I6" s="18">
        <v>37</v>
      </c>
      <c r="J6" s="19">
        <v>273.37</v>
      </c>
      <c r="K6" s="19">
        <v>226.84</v>
      </c>
      <c r="L6" s="63">
        <v>8605000</v>
      </c>
      <c r="M6" s="89"/>
      <c r="N6" s="84" t="e">
        <f t="shared" si="0"/>
        <v>#VALUE!</v>
      </c>
      <c r="O6" s="65"/>
      <c r="P6" s="65"/>
      <c r="Q6" s="65"/>
      <c r="R6" s="89"/>
      <c r="S6" s="89"/>
    </row>
    <row r="7" spans="1:702" ht="63" x14ac:dyDescent="0.25">
      <c r="A7" s="62" t="s">
        <v>2</v>
      </c>
      <c r="B7" s="7">
        <v>111714</v>
      </c>
      <c r="C7" s="11" t="s">
        <v>1</v>
      </c>
      <c r="D7" s="20" t="s">
        <v>931</v>
      </c>
      <c r="E7" s="20"/>
      <c r="F7" s="18" t="s">
        <v>521</v>
      </c>
      <c r="G7" s="18" t="s">
        <v>712</v>
      </c>
      <c r="H7" s="18" t="s">
        <v>512</v>
      </c>
      <c r="I7" s="18" t="s">
        <v>3</v>
      </c>
      <c r="J7" s="19">
        <v>2010</v>
      </c>
      <c r="K7" s="19" t="s">
        <v>3</v>
      </c>
      <c r="L7" s="63">
        <v>5004000</v>
      </c>
      <c r="M7" s="89"/>
      <c r="N7" s="84" t="e">
        <f t="shared" si="0"/>
        <v>#VALUE!</v>
      </c>
      <c r="O7" s="65"/>
      <c r="P7" s="65"/>
      <c r="Q7" s="65"/>
      <c r="R7" s="89"/>
      <c r="S7" s="89"/>
    </row>
    <row r="8" spans="1:702" ht="63" x14ac:dyDescent="0.25">
      <c r="A8" s="62" t="s">
        <v>811</v>
      </c>
      <c r="B8" s="40">
        <v>112025</v>
      </c>
      <c r="C8" s="76" t="s">
        <v>337</v>
      </c>
      <c r="D8" s="41" t="s">
        <v>338</v>
      </c>
      <c r="E8" s="41"/>
      <c r="F8" s="39" t="s">
        <v>526</v>
      </c>
      <c r="G8" s="41" t="s">
        <v>737</v>
      </c>
      <c r="H8" s="52" t="s">
        <v>512</v>
      </c>
      <c r="I8" s="65"/>
      <c r="J8" s="66"/>
      <c r="K8" s="41">
        <v>66857</v>
      </c>
      <c r="L8" s="67">
        <v>102110000</v>
      </c>
      <c r="M8" s="89"/>
      <c r="N8" s="84" t="e">
        <f t="shared" si="0"/>
        <v>#VALUE!</v>
      </c>
      <c r="O8" s="65"/>
      <c r="P8" s="65"/>
      <c r="Q8" s="65"/>
      <c r="R8" s="89"/>
      <c r="S8" s="89"/>
    </row>
    <row r="9" spans="1:702" ht="78.75" x14ac:dyDescent="0.25">
      <c r="A9" s="62" t="s">
        <v>4</v>
      </c>
      <c r="B9" s="8">
        <v>112121</v>
      </c>
      <c r="C9" s="11" t="s">
        <v>88</v>
      </c>
      <c r="D9" s="18" t="s">
        <v>91</v>
      </c>
      <c r="E9" s="18"/>
      <c r="F9" s="18" t="s">
        <v>521</v>
      </c>
      <c r="G9" s="18" t="s">
        <v>713</v>
      </c>
      <c r="H9" s="18" t="s">
        <v>514</v>
      </c>
      <c r="I9" s="18" t="s">
        <v>3</v>
      </c>
      <c r="J9" s="18" t="s">
        <v>3</v>
      </c>
      <c r="K9" s="18">
        <v>148</v>
      </c>
      <c r="L9" s="63">
        <v>8300000</v>
      </c>
      <c r="M9" s="89"/>
      <c r="N9" s="84" t="e">
        <f t="shared" si="0"/>
        <v>#VALUE!</v>
      </c>
      <c r="O9" s="65"/>
      <c r="P9" s="65"/>
      <c r="Q9" s="65"/>
      <c r="R9" s="89"/>
      <c r="S9" s="89"/>
    </row>
    <row r="10" spans="1:702" ht="78.75" x14ac:dyDescent="0.25">
      <c r="A10" s="62" t="s">
        <v>7</v>
      </c>
      <c r="B10" s="8">
        <v>112121</v>
      </c>
      <c r="C10" s="11" t="s">
        <v>88</v>
      </c>
      <c r="D10" s="18" t="s">
        <v>89</v>
      </c>
      <c r="E10" s="18"/>
      <c r="F10" s="18" t="s">
        <v>521</v>
      </c>
      <c r="G10" s="18" t="s">
        <v>713</v>
      </c>
      <c r="H10" s="18" t="s">
        <v>514</v>
      </c>
      <c r="I10" s="18" t="s">
        <v>3</v>
      </c>
      <c r="J10" s="18" t="s">
        <v>3</v>
      </c>
      <c r="K10" s="18">
        <v>148</v>
      </c>
      <c r="L10" s="63">
        <v>8291000</v>
      </c>
      <c r="M10" s="89"/>
      <c r="N10" s="84" t="e">
        <f t="shared" si="0"/>
        <v>#VALUE!</v>
      </c>
      <c r="O10" s="65"/>
      <c r="P10" s="65"/>
      <c r="Q10" s="65"/>
      <c r="R10" s="89"/>
      <c r="S10" s="89"/>
    </row>
    <row r="11" spans="1:702" ht="78.75" x14ac:dyDescent="0.25">
      <c r="A11" s="62" t="s">
        <v>9</v>
      </c>
      <c r="B11" s="8">
        <v>112121</v>
      </c>
      <c r="C11" s="11" t="s">
        <v>88</v>
      </c>
      <c r="D11" s="18" t="s">
        <v>93</v>
      </c>
      <c r="E11" s="18"/>
      <c r="F11" s="18" t="s">
        <v>521</v>
      </c>
      <c r="G11" s="18" t="s">
        <v>713</v>
      </c>
      <c r="H11" s="18" t="s">
        <v>514</v>
      </c>
      <c r="I11" s="18" t="s">
        <v>3</v>
      </c>
      <c r="J11" s="18" t="s">
        <v>3</v>
      </c>
      <c r="K11" s="18">
        <v>148</v>
      </c>
      <c r="L11" s="63">
        <v>8282000</v>
      </c>
      <c r="M11" s="89"/>
      <c r="N11" s="84" t="e">
        <f t="shared" si="0"/>
        <v>#VALUE!</v>
      </c>
      <c r="O11" s="65"/>
      <c r="P11" s="65"/>
      <c r="Q11" s="65"/>
      <c r="R11" s="89"/>
      <c r="S11" s="89"/>
    </row>
    <row r="12" spans="1:702" ht="78.75" x14ac:dyDescent="0.25">
      <c r="A12" s="62" t="s">
        <v>10</v>
      </c>
      <c r="B12" s="8">
        <v>112121</v>
      </c>
      <c r="C12" s="11" t="s">
        <v>88</v>
      </c>
      <c r="D12" s="18" t="s">
        <v>95</v>
      </c>
      <c r="E12" s="18"/>
      <c r="F12" s="18" t="s">
        <v>521</v>
      </c>
      <c r="G12" s="18" t="s">
        <v>713</v>
      </c>
      <c r="H12" s="18" t="s">
        <v>514</v>
      </c>
      <c r="I12" s="18" t="s">
        <v>3</v>
      </c>
      <c r="J12" s="18" t="s">
        <v>3</v>
      </c>
      <c r="K12" s="18">
        <v>149</v>
      </c>
      <c r="L12" s="63">
        <v>8291000</v>
      </c>
      <c r="M12" s="89"/>
      <c r="N12" s="84" t="e">
        <f t="shared" si="0"/>
        <v>#VALUE!</v>
      </c>
      <c r="O12" s="65"/>
      <c r="P12" s="65"/>
      <c r="Q12" s="65"/>
      <c r="R12" s="89"/>
      <c r="S12" s="89"/>
    </row>
    <row r="13" spans="1:702" ht="78.75" x14ac:dyDescent="0.25">
      <c r="A13" s="62" t="s">
        <v>11</v>
      </c>
      <c r="B13" s="8">
        <v>112244</v>
      </c>
      <c r="C13" s="11" t="s">
        <v>5</v>
      </c>
      <c r="D13" s="18" t="s">
        <v>97</v>
      </c>
      <c r="E13" s="18"/>
      <c r="F13" s="18" t="s">
        <v>521</v>
      </c>
      <c r="G13" s="18" t="s">
        <v>714</v>
      </c>
      <c r="H13" s="18" t="s">
        <v>514</v>
      </c>
      <c r="I13" s="18" t="s">
        <v>3</v>
      </c>
      <c r="J13" s="18" t="s">
        <v>3</v>
      </c>
      <c r="K13" s="18">
        <v>193</v>
      </c>
      <c r="L13" s="63">
        <v>8153000</v>
      </c>
      <c r="M13" s="89"/>
      <c r="N13" s="84" t="e">
        <f t="shared" si="0"/>
        <v>#VALUE!</v>
      </c>
      <c r="O13" s="65"/>
      <c r="P13" s="65"/>
      <c r="Q13" s="65"/>
      <c r="R13" s="89"/>
      <c r="S13" s="89"/>
    </row>
    <row r="14" spans="1:702" ht="78.75" x14ac:dyDescent="0.25">
      <c r="A14" s="62" t="s">
        <v>12</v>
      </c>
      <c r="B14" s="7">
        <v>112244</v>
      </c>
      <c r="C14" s="11" t="s">
        <v>5</v>
      </c>
      <c r="D14" s="18" t="s">
        <v>8</v>
      </c>
      <c r="E14" s="18"/>
      <c r="F14" s="18" t="s">
        <v>521</v>
      </c>
      <c r="G14" s="18" t="s">
        <v>715</v>
      </c>
      <c r="H14" s="18" t="s">
        <v>514</v>
      </c>
      <c r="I14" s="18">
        <v>19</v>
      </c>
      <c r="J14" s="19" t="s">
        <v>3</v>
      </c>
      <c r="K14" s="19">
        <v>196.1</v>
      </c>
      <c r="L14" s="63">
        <v>7361000</v>
      </c>
      <c r="M14" s="89"/>
      <c r="N14" s="84" t="e">
        <f t="shared" si="0"/>
        <v>#VALUE!</v>
      </c>
      <c r="O14" s="65"/>
      <c r="P14" s="65"/>
      <c r="Q14" s="65"/>
      <c r="R14" s="89"/>
      <c r="S14" s="89"/>
    </row>
    <row r="15" spans="1:702" ht="78.75" x14ac:dyDescent="0.25">
      <c r="A15" s="62" t="s">
        <v>15</v>
      </c>
      <c r="B15" s="7">
        <v>112244</v>
      </c>
      <c r="C15" s="11" t="s">
        <v>5</v>
      </c>
      <c r="D15" s="18" t="s">
        <v>6</v>
      </c>
      <c r="E15" s="18"/>
      <c r="F15" s="18" t="s">
        <v>521</v>
      </c>
      <c r="G15" s="18" t="s">
        <v>716</v>
      </c>
      <c r="H15" s="18" t="s">
        <v>514</v>
      </c>
      <c r="I15" s="18">
        <v>19</v>
      </c>
      <c r="J15" s="19" t="s">
        <v>3</v>
      </c>
      <c r="K15" s="19">
        <v>195.3</v>
      </c>
      <c r="L15" s="63">
        <v>7326000</v>
      </c>
      <c r="M15" s="89"/>
      <c r="N15" s="84" t="e">
        <f t="shared" si="0"/>
        <v>#VALUE!</v>
      </c>
      <c r="O15" s="65"/>
      <c r="P15" s="65"/>
      <c r="Q15" s="65"/>
      <c r="R15" s="89"/>
      <c r="S15" s="89"/>
    </row>
    <row r="16" spans="1:702" ht="47.25" x14ac:dyDescent="0.25">
      <c r="A16" s="62" t="s">
        <v>18</v>
      </c>
      <c r="B16" s="7">
        <v>112603</v>
      </c>
      <c r="C16" s="11" t="s">
        <v>493</v>
      </c>
      <c r="D16" s="21" t="s">
        <v>500</v>
      </c>
      <c r="E16" s="21"/>
      <c r="F16" s="18" t="s">
        <v>521</v>
      </c>
      <c r="G16" s="4" t="s">
        <v>762</v>
      </c>
      <c r="H16" s="18" t="s">
        <v>514</v>
      </c>
      <c r="I16" s="18">
        <v>31</v>
      </c>
      <c r="J16" s="19" t="s">
        <v>3</v>
      </c>
      <c r="K16" s="19">
        <v>170</v>
      </c>
      <c r="L16" s="63">
        <v>8878000</v>
      </c>
      <c r="M16" s="89"/>
      <c r="N16" s="84" t="e">
        <f t="shared" si="0"/>
        <v>#VALUE!</v>
      </c>
      <c r="O16" s="65"/>
      <c r="P16" s="65"/>
      <c r="Q16" s="65"/>
      <c r="R16" s="89"/>
      <c r="S16" s="89"/>
    </row>
    <row r="17" spans="1:19" ht="63" x14ac:dyDescent="0.25">
      <c r="A17" s="62" t="s">
        <v>19</v>
      </c>
      <c r="B17" s="7">
        <v>112603</v>
      </c>
      <c r="C17" s="11" t="s">
        <v>493</v>
      </c>
      <c r="D17" s="18" t="s">
        <v>501</v>
      </c>
      <c r="E17" s="18"/>
      <c r="F17" s="18" t="s">
        <v>521</v>
      </c>
      <c r="G17" s="18" t="s">
        <v>717</v>
      </c>
      <c r="H17" s="18" t="s">
        <v>514</v>
      </c>
      <c r="I17" s="18">
        <v>27</v>
      </c>
      <c r="J17" s="19" t="s">
        <v>3</v>
      </c>
      <c r="K17" s="19">
        <v>141</v>
      </c>
      <c r="L17" s="63">
        <v>8167000</v>
      </c>
      <c r="M17" s="89"/>
      <c r="N17" s="84" t="e">
        <f t="shared" si="0"/>
        <v>#VALUE!</v>
      </c>
      <c r="O17" s="65"/>
      <c r="P17" s="65"/>
      <c r="Q17" s="65"/>
      <c r="R17" s="89"/>
      <c r="S17" s="89"/>
    </row>
    <row r="18" spans="1:19" ht="63" x14ac:dyDescent="0.25">
      <c r="A18" s="62" t="s">
        <v>20</v>
      </c>
      <c r="B18" s="7">
        <v>112603</v>
      </c>
      <c r="C18" s="11" t="s">
        <v>493</v>
      </c>
      <c r="D18" s="22" t="s">
        <v>499</v>
      </c>
      <c r="E18" s="22"/>
      <c r="F18" s="18" t="s">
        <v>521</v>
      </c>
      <c r="G18" s="18" t="s">
        <v>717</v>
      </c>
      <c r="H18" s="18" t="s">
        <v>514</v>
      </c>
      <c r="I18" s="18">
        <v>31</v>
      </c>
      <c r="J18" s="19" t="s">
        <v>3</v>
      </c>
      <c r="K18" s="19">
        <v>178</v>
      </c>
      <c r="L18" s="63">
        <v>3265000</v>
      </c>
      <c r="M18" s="89"/>
      <c r="N18" s="84" t="e">
        <f t="shared" si="0"/>
        <v>#VALUE!</v>
      </c>
      <c r="O18" s="65"/>
      <c r="P18" s="65"/>
      <c r="Q18" s="65"/>
      <c r="R18" s="89"/>
      <c r="S18" s="89"/>
    </row>
    <row r="19" spans="1:19" ht="63" x14ac:dyDescent="0.25">
      <c r="A19" s="62" t="s">
        <v>21</v>
      </c>
      <c r="B19" s="7">
        <v>112680</v>
      </c>
      <c r="C19" s="11" t="s">
        <v>13</v>
      </c>
      <c r="D19" s="18" t="s">
        <v>14</v>
      </c>
      <c r="E19" s="18"/>
      <c r="F19" s="18" t="s">
        <v>521</v>
      </c>
      <c r="G19" s="18" t="s">
        <v>718</v>
      </c>
      <c r="H19" s="18" t="s">
        <v>532</v>
      </c>
      <c r="I19" s="18">
        <v>47</v>
      </c>
      <c r="J19" s="19">
        <v>785</v>
      </c>
      <c r="K19" s="19" t="s">
        <v>3</v>
      </c>
      <c r="L19" s="63">
        <v>50395000</v>
      </c>
      <c r="M19" s="89"/>
      <c r="N19" s="84" t="e">
        <f t="shared" si="0"/>
        <v>#VALUE!</v>
      </c>
      <c r="O19" s="65"/>
      <c r="P19" s="65"/>
      <c r="Q19" s="65"/>
      <c r="R19" s="89"/>
      <c r="S19" s="89"/>
    </row>
    <row r="20" spans="1:19" ht="63" x14ac:dyDescent="0.25">
      <c r="A20" s="62" t="s">
        <v>24</v>
      </c>
      <c r="B20" s="7">
        <v>112686</v>
      </c>
      <c r="C20" s="11" t="s">
        <v>99</v>
      </c>
      <c r="D20" s="20" t="s">
        <v>100</v>
      </c>
      <c r="E20" s="20"/>
      <c r="F20" s="18" t="s">
        <v>521</v>
      </c>
      <c r="G20" s="18" t="s">
        <v>719</v>
      </c>
      <c r="H20" s="18" t="s">
        <v>514</v>
      </c>
      <c r="I20" s="18" t="s">
        <v>3</v>
      </c>
      <c r="J20" s="18" t="s">
        <v>3</v>
      </c>
      <c r="K20" s="18">
        <v>225</v>
      </c>
      <c r="L20" s="63">
        <v>2514000</v>
      </c>
      <c r="M20" s="89"/>
      <c r="N20" s="84" t="e">
        <f t="shared" si="0"/>
        <v>#VALUE!</v>
      </c>
      <c r="O20" s="65"/>
      <c r="P20" s="65"/>
      <c r="Q20" s="65"/>
      <c r="R20" s="89"/>
      <c r="S20" s="89"/>
    </row>
    <row r="21" spans="1:19" ht="63" x14ac:dyDescent="0.25">
      <c r="A21" s="62" t="s">
        <v>26</v>
      </c>
      <c r="B21" s="7">
        <v>112686</v>
      </c>
      <c r="C21" s="11" t="s">
        <v>99</v>
      </c>
      <c r="D21" s="20" t="s">
        <v>102</v>
      </c>
      <c r="E21" s="20"/>
      <c r="F21" s="18" t="s">
        <v>521</v>
      </c>
      <c r="G21" s="18" t="s">
        <v>719</v>
      </c>
      <c r="H21" s="18" t="s">
        <v>514</v>
      </c>
      <c r="I21" s="18" t="s">
        <v>3</v>
      </c>
      <c r="J21" s="18" t="s">
        <v>3</v>
      </c>
      <c r="K21" s="18">
        <v>225</v>
      </c>
      <c r="L21" s="63">
        <v>2692000</v>
      </c>
      <c r="M21" s="89"/>
      <c r="N21" s="84" t="e">
        <f t="shared" si="0"/>
        <v>#VALUE!</v>
      </c>
      <c r="O21" s="65"/>
      <c r="P21" s="65"/>
      <c r="Q21" s="65"/>
      <c r="R21" s="89"/>
      <c r="S21" s="89"/>
    </row>
    <row r="22" spans="1:19" ht="63" x14ac:dyDescent="0.25">
      <c r="A22" s="62" t="s">
        <v>29</v>
      </c>
      <c r="B22" s="7">
        <v>112686</v>
      </c>
      <c r="C22" s="11" t="s">
        <v>99</v>
      </c>
      <c r="D22" s="20" t="s">
        <v>104</v>
      </c>
      <c r="E22" s="20"/>
      <c r="F22" s="18" t="s">
        <v>521</v>
      </c>
      <c r="G22" s="18" t="s">
        <v>719</v>
      </c>
      <c r="H22" s="18" t="s">
        <v>514</v>
      </c>
      <c r="I22" s="18" t="s">
        <v>3</v>
      </c>
      <c r="J22" s="18" t="s">
        <v>3</v>
      </c>
      <c r="K22" s="18">
        <v>225</v>
      </c>
      <c r="L22" s="63">
        <v>2729000</v>
      </c>
      <c r="M22" s="89"/>
      <c r="N22" s="84" t="e">
        <f t="shared" si="0"/>
        <v>#VALUE!</v>
      </c>
      <c r="O22" s="65"/>
      <c r="P22" s="65"/>
      <c r="Q22" s="65"/>
      <c r="R22" s="89"/>
      <c r="S22" s="89"/>
    </row>
    <row r="23" spans="1:19" ht="63" x14ac:dyDescent="0.25">
      <c r="A23" s="62" t="s">
        <v>32</v>
      </c>
      <c r="B23" s="7">
        <v>112686</v>
      </c>
      <c r="C23" s="11" t="s">
        <v>99</v>
      </c>
      <c r="D23" s="20" t="s">
        <v>106</v>
      </c>
      <c r="E23" s="20"/>
      <c r="F23" s="18" t="s">
        <v>521</v>
      </c>
      <c r="G23" s="18" t="s">
        <v>719</v>
      </c>
      <c r="H23" s="18" t="s">
        <v>514</v>
      </c>
      <c r="I23" s="18" t="s">
        <v>3</v>
      </c>
      <c r="J23" s="18" t="s">
        <v>3</v>
      </c>
      <c r="K23" s="18">
        <v>225</v>
      </c>
      <c r="L23" s="63">
        <v>2764000</v>
      </c>
      <c r="M23" s="89"/>
      <c r="N23" s="84" t="e">
        <f t="shared" si="0"/>
        <v>#VALUE!</v>
      </c>
      <c r="O23" s="65"/>
      <c r="P23" s="65"/>
      <c r="Q23" s="65"/>
      <c r="R23" s="89"/>
      <c r="S23" s="89"/>
    </row>
    <row r="24" spans="1:19" ht="63" x14ac:dyDescent="0.25">
      <c r="A24" s="62" t="s">
        <v>35</v>
      </c>
      <c r="B24" s="7">
        <v>112686</v>
      </c>
      <c r="C24" s="11" t="s">
        <v>99</v>
      </c>
      <c r="D24" s="20" t="s">
        <v>108</v>
      </c>
      <c r="E24" s="20"/>
      <c r="F24" s="18" t="s">
        <v>521</v>
      </c>
      <c r="G24" s="18" t="s">
        <v>719</v>
      </c>
      <c r="H24" s="18" t="s">
        <v>514</v>
      </c>
      <c r="I24" s="18" t="s">
        <v>3</v>
      </c>
      <c r="J24" s="18" t="s">
        <v>3</v>
      </c>
      <c r="K24" s="18">
        <v>225</v>
      </c>
      <c r="L24" s="63">
        <v>2734000</v>
      </c>
      <c r="M24" s="89"/>
      <c r="N24" s="84" t="e">
        <f t="shared" si="0"/>
        <v>#VALUE!</v>
      </c>
      <c r="O24" s="65"/>
      <c r="P24" s="65"/>
      <c r="Q24" s="65"/>
      <c r="R24" s="89"/>
      <c r="S24" s="89"/>
    </row>
    <row r="25" spans="1:19" ht="47.25" x14ac:dyDescent="0.25">
      <c r="A25" s="62" t="s">
        <v>812</v>
      </c>
      <c r="B25" s="41">
        <v>112822</v>
      </c>
      <c r="C25" s="76" t="s">
        <v>339</v>
      </c>
      <c r="D25" s="41" t="s">
        <v>340</v>
      </c>
      <c r="E25" s="41"/>
      <c r="F25" s="39" t="s">
        <v>647</v>
      </c>
      <c r="G25" s="41" t="s">
        <v>738</v>
      </c>
      <c r="H25" s="41" t="s">
        <v>532</v>
      </c>
      <c r="I25" s="65"/>
      <c r="J25" s="66"/>
      <c r="K25" s="41">
        <v>300</v>
      </c>
      <c r="L25" s="67">
        <v>2220000</v>
      </c>
      <c r="M25" s="89"/>
      <c r="N25" s="84" t="e">
        <f t="shared" si="0"/>
        <v>#VALUE!</v>
      </c>
      <c r="O25" s="65"/>
      <c r="P25" s="65"/>
      <c r="Q25" s="65"/>
      <c r="R25" s="89"/>
      <c r="S25" s="89"/>
    </row>
    <row r="26" spans="1:19" ht="63" x14ac:dyDescent="0.25">
      <c r="A26" s="62" t="s">
        <v>813</v>
      </c>
      <c r="B26" s="40">
        <v>112909</v>
      </c>
      <c r="C26" s="76" t="s">
        <v>341</v>
      </c>
      <c r="D26" s="41" t="s">
        <v>338</v>
      </c>
      <c r="E26" s="41"/>
      <c r="F26" s="39" t="s">
        <v>526</v>
      </c>
      <c r="G26" s="41" t="s">
        <v>739</v>
      </c>
      <c r="H26" s="41" t="s">
        <v>512</v>
      </c>
      <c r="I26" s="65"/>
      <c r="J26" s="66"/>
      <c r="K26" s="41">
        <v>65409</v>
      </c>
      <c r="L26" s="67">
        <v>100290000</v>
      </c>
      <c r="M26" s="89"/>
      <c r="N26" s="84" t="e">
        <f t="shared" si="0"/>
        <v>#VALUE!</v>
      </c>
      <c r="O26" s="65"/>
      <c r="P26" s="65"/>
      <c r="Q26" s="65"/>
      <c r="R26" s="89"/>
      <c r="S26" s="89"/>
    </row>
    <row r="27" spans="1:19" ht="63" x14ac:dyDescent="0.25">
      <c r="A27" s="62" t="s">
        <v>814</v>
      </c>
      <c r="B27" s="41">
        <v>112909</v>
      </c>
      <c r="C27" s="76" t="s">
        <v>341</v>
      </c>
      <c r="D27" s="41" t="s">
        <v>342</v>
      </c>
      <c r="E27" s="41"/>
      <c r="F27" s="39" t="s">
        <v>526</v>
      </c>
      <c r="G27" s="41" t="s">
        <v>740</v>
      </c>
      <c r="H27" s="41" t="s">
        <v>512</v>
      </c>
      <c r="I27" s="65"/>
      <c r="J27" s="66"/>
      <c r="K27" s="41">
        <v>20217</v>
      </c>
      <c r="L27" s="67">
        <v>49762000</v>
      </c>
      <c r="M27" s="89"/>
      <c r="N27" s="84" t="e">
        <f t="shared" si="0"/>
        <v>#VALUE!</v>
      </c>
      <c r="O27" s="65"/>
      <c r="P27" s="65"/>
      <c r="Q27" s="65"/>
      <c r="R27" s="89"/>
      <c r="S27" s="89"/>
    </row>
    <row r="28" spans="1:19" ht="47.25" x14ac:dyDescent="0.25">
      <c r="A28" s="62" t="s">
        <v>37</v>
      </c>
      <c r="B28" s="7">
        <v>113025</v>
      </c>
      <c r="C28" s="11" t="s">
        <v>16</v>
      </c>
      <c r="D28" s="23" t="s">
        <v>17</v>
      </c>
      <c r="E28" s="23"/>
      <c r="F28" s="18" t="s">
        <v>521</v>
      </c>
      <c r="G28" s="18" t="s">
        <v>720</v>
      </c>
      <c r="H28" s="18" t="s">
        <v>514</v>
      </c>
      <c r="I28" s="18">
        <v>13</v>
      </c>
      <c r="J28" s="19"/>
      <c r="K28" s="19">
        <v>200.47</v>
      </c>
      <c r="L28" s="63">
        <v>5340000</v>
      </c>
      <c r="M28" s="89"/>
      <c r="N28" s="84" t="e">
        <f t="shared" si="0"/>
        <v>#VALUE!</v>
      </c>
      <c r="O28" s="65"/>
      <c r="P28" s="65"/>
      <c r="Q28" s="65"/>
      <c r="R28" s="89"/>
      <c r="S28" s="89"/>
    </row>
    <row r="29" spans="1:19" ht="94.5" x14ac:dyDescent="0.25">
      <c r="A29" s="62" t="s">
        <v>39</v>
      </c>
      <c r="B29" s="7">
        <v>113126</v>
      </c>
      <c r="C29" s="11" t="s">
        <v>22</v>
      </c>
      <c r="D29" s="18" t="s">
        <v>23</v>
      </c>
      <c r="E29" s="18"/>
      <c r="F29" s="18" t="s">
        <v>521</v>
      </c>
      <c r="G29" s="18" t="s">
        <v>721</v>
      </c>
      <c r="H29" s="18" t="s">
        <v>514</v>
      </c>
      <c r="I29" s="18">
        <v>5</v>
      </c>
      <c r="J29" s="19" t="s">
        <v>3</v>
      </c>
      <c r="K29" s="19">
        <v>115.49</v>
      </c>
      <c r="L29" s="63">
        <v>5108000</v>
      </c>
      <c r="M29" s="89"/>
      <c r="N29" s="84" t="e">
        <f t="shared" si="0"/>
        <v>#VALUE!</v>
      </c>
      <c r="O29" s="65"/>
      <c r="P29" s="65"/>
      <c r="Q29" s="65"/>
      <c r="R29" s="89"/>
      <c r="S29" s="89"/>
    </row>
    <row r="30" spans="1:19" ht="94.5" x14ac:dyDescent="0.25">
      <c r="A30" s="62" t="s">
        <v>42</v>
      </c>
      <c r="B30" s="7">
        <v>113126</v>
      </c>
      <c r="C30" s="11" t="s">
        <v>22</v>
      </c>
      <c r="D30" s="18" t="s">
        <v>25</v>
      </c>
      <c r="E30" s="18"/>
      <c r="F30" s="18" t="s">
        <v>521</v>
      </c>
      <c r="G30" s="18" t="s">
        <v>721</v>
      </c>
      <c r="H30" s="18" t="s">
        <v>514</v>
      </c>
      <c r="I30" s="18">
        <v>5</v>
      </c>
      <c r="J30" s="19">
        <v>380</v>
      </c>
      <c r="K30" s="19">
        <v>135.28</v>
      </c>
      <c r="L30" s="63">
        <v>6144000</v>
      </c>
      <c r="M30" s="89"/>
      <c r="N30" s="84" t="e">
        <f t="shared" si="0"/>
        <v>#VALUE!</v>
      </c>
      <c r="O30" s="65"/>
      <c r="P30" s="65"/>
      <c r="Q30" s="65"/>
      <c r="R30" s="89"/>
      <c r="S30" s="89"/>
    </row>
    <row r="31" spans="1:19" ht="110.25" x14ac:dyDescent="0.25">
      <c r="A31" s="62" t="s">
        <v>44</v>
      </c>
      <c r="B31" s="7">
        <v>113136</v>
      </c>
      <c r="C31" s="11" t="s">
        <v>27</v>
      </c>
      <c r="D31" s="18" t="s">
        <v>28</v>
      </c>
      <c r="E31" s="18"/>
      <c r="F31" s="18" t="s">
        <v>521</v>
      </c>
      <c r="G31" s="18" t="s">
        <v>722</v>
      </c>
      <c r="H31" s="18" t="s">
        <v>512</v>
      </c>
      <c r="I31" s="18">
        <v>27</v>
      </c>
      <c r="J31" s="24">
        <v>24227</v>
      </c>
      <c r="K31" s="19" t="s">
        <v>3</v>
      </c>
      <c r="L31" s="63">
        <v>592531000</v>
      </c>
      <c r="M31" s="89"/>
      <c r="N31" s="84" t="e">
        <f t="shared" si="0"/>
        <v>#VALUE!</v>
      </c>
      <c r="O31" s="65"/>
      <c r="P31" s="65"/>
      <c r="Q31" s="65"/>
      <c r="R31" s="89"/>
      <c r="S31" s="89"/>
    </row>
    <row r="32" spans="1:19" ht="78.75" x14ac:dyDescent="0.25">
      <c r="A32" s="62" t="s">
        <v>815</v>
      </c>
      <c r="B32" s="41">
        <v>113152</v>
      </c>
      <c r="C32" s="76" t="s">
        <v>343</v>
      </c>
      <c r="D32" s="41" t="s">
        <v>344</v>
      </c>
      <c r="E32" s="41"/>
      <c r="F32" s="39" t="s">
        <v>527</v>
      </c>
      <c r="G32" s="41" t="s">
        <v>752</v>
      </c>
      <c r="H32" s="41" t="s">
        <v>514</v>
      </c>
      <c r="I32" s="66"/>
      <c r="J32" s="66"/>
      <c r="K32" s="41">
        <v>113</v>
      </c>
      <c r="L32" s="67">
        <v>1960000</v>
      </c>
      <c r="M32" s="89"/>
      <c r="N32" s="84" t="e">
        <f t="shared" si="0"/>
        <v>#VALUE!</v>
      </c>
      <c r="O32" s="65"/>
      <c r="P32" s="65"/>
      <c r="Q32" s="65"/>
      <c r="R32" s="89"/>
      <c r="S32" s="89"/>
    </row>
    <row r="33" spans="1:19" ht="63" x14ac:dyDescent="0.25">
      <c r="A33" s="62" t="s">
        <v>46</v>
      </c>
      <c r="B33" s="7">
        <v>113241</v>
      </c>
      <c r="C33" s="11" t="s">
        <v>30</v>
      </c>
      <c r="D33" s="18" t="s">
        <v>31</v>
      </c>
      <c r="E33" s="18"/>
      <c r="F33" s="18" t="s">
        <v>521</v>
      </c>
      <c r="G33" s="4" t="s">
        <v>763</v>
      </c>
      <c r="H33" s="18" t="s">
        <v>514</v>
      </c>
      <c r="I33" s="18">
        <v>27</v>
      </c>
      <c r="J33" s="19" t="s">
        <v>3</v>
      </c>
      <c r="K33" s="19">
        <v>176.45</v>
      </c>
      <c r="L33" s="63">
        <v>5249000</v>
      </c>
      <c r="M33" s="89"/>
      <c r="N33" s="84" t="e">
        <f t="shared" si="0"/>
        <v>#VALUE!</v>
      </c>
      <c r="O33" s="65"/>
      <c r="P33" s="65"/>
      <c r="Q33" s="65"/>
      <c r="R33" s="89"/>
      <c r="S33" s="89"/>
    </row>
    <row r="34" spans="1:19" ht="47.25" x14ac:dyDescent="0.25">
      <c r="A34" s="62" t="s">
        <v>817</v>
      </c>
      <c r="B34" s="41">
        <v>113260</v>
      </c>
      <c r="C34" s="77" t="s">
        <v>345</v>
      </c>
      <c r="D34" s="28" t="s">
        <v>346</v>
      </c>
      <c r="E34" s="28"/>
      <c r="F34" s="39" t="s">
        <v>527</v>
      </c>
      <c r="G34" s="28" t="s">
        <v>742</v>
      </c>
      <c r="H34" s="28" t="s">
        <v>532</v>
      </c>
      <c r="I34" s="66"/>
      <c r="J34" s="66"/>
      <c r="K34" s="28">
        <v>280</v>
      </c>
      <c r="L34" s="67">
        <v>1970000</v>
      </c>
      <c r="M34" s="89"/>
      <c r="N34" s="84" t="e">
        <f t="shared" si="0"/>
        <v>#VALUE!</v>
      </c>
      <c r="O34" s="65"/>
      <c r="P34" s="65"/>
      <c r="Q34" s="65"/>
      <c r="R34" s="89"/>
      <c r="S34" s="89"/>
    </row>
    <row r="35" spans="1:19" ht="33.75" x14ac:dyDescent="0.25">
      <c r="A35" s="62" t="s">
        <v>816</v>
      </c>
      <c r="B35" s="41">
        <v>113260</v>
      </c>
      <c r="C35" s="77" t="s">
        <v>347</v>
      </c>
      <c r="D35" s="28" t="s">
        <v>348</v>
      </c>
      <c r="E35" s="28"/>
      <c r="F35" s="39" t="s">
        <v>529</v>
      </c>
      <c r="G35" s="28" t="s">
        <v>741</v>
      </c>
      <c r="H35" s="28" t="s">
        <v>690</v>
      </c>
      <c r="I35" s="66"/>
      <c r="J35" s="66"/>
      <c r="K35" s="28" t="s">
        <v>495</v>
      </c>
      <c r="L35" s="67">
        <v>4860000</v>
      </c>
      <c r="M35" s="89"/>
      <c r="N35" s="84" t="e">
        <f t="shared" si="0"/>
        <v>#VALUE!</v>
      </c>
      <c r="O35" s="65"/>
      <c r="P35" s="65"/>
      <c r="Q35" s="65"/>
      <c r="R35" s="89"/>
      <c r="S35" s="89"/>
    </row>
    <row r="36" spans="1:19" ht="63" x14ac:dyDescent="0.25">
      <c r="A36" s="62" t="s">
        <v>48</v>
      </c>
      <c r="B36" s="7">
        <v>113260</v>
      </c>
      <c r="C36" s="11" t="s">
        <v>33</v>
      </c>
      <c r="D36" s="18" t="s">
        <v>36</v>
      </c>
      <c r="E36" s="18"/>
      <c r="F36" s="18" t="s">
        <v>521</v>
      </c>
      <c r="G36" s="4" t="s">
        <v>755</v>
      </c>
      <c r="H36" s="18" t="s">
        <v>532</v>
      </c>
      <c r="I36" s="18">
        <v>31</v>
      </c>
      <c r="J36" s="19">
        <v>585</v>
      </c>
      <c r="K36" s="19">
        <v>578</v>
      </c>
      <c r="L36" s="63">
        <v>22284000</v>
      </c>
      <c r="M36" s="89"/>
      <c r="N36" s="84" t="e">
        <f t="shared" si="0"/>
        <v>#VALUE!</v>
      </c>
      <c r="O36" s="65"/>
      <c r="P36" s="65"/>
      <c r="Q36" s="65"/>
      <c r="R36" s="89"/>
      <c r="S36" s="89"/>
    </row>
    <row r="37" spans="1:19" ht="31.5" x14ac:dyDescent="0.25">
      <c r="A37" s="62" t="s">
        <v>51</v>
      </c>
      <c r="B37" s="7">
        <v>113260</v>
      </c>
      <c r="C37" s="11" t="s">
        <v>33</v>
      </c>
      <c r="D37" s="18" t="s">
        <v>38</v>
      </c>
      <c r="E37" s="18"/>
      <c r="F37" s="18" t="s">
        <v>521</v>
      </c>
      <c r="G37" s="4" t="s">
        <v>756</v>
      </c>
      <c r="H37" s="18" t="s">
        <v>514</v>
      </c>
      <c r="I37" s="18">
        <v>14</v>
      </c>
      <c r="J37" s="19" t="s">
        <v>3</v>
      </c>
      <c r="K37" s="19">
        <v>69.819999999999993</v>
      </c>
      <c r="L37" s="63">
        <v>2182000</v>
      </c>
      <c r="M37" s="89"/>
      <c r="N37" s="84" t="e">
        <f t="shared" si="0"/>
        <v>#VALUE!</v>
      </c>
      <c r="O37" s="65"/>
      <c r="P37" s="65"/>
      <c r="Q37" s="65"/>
      <c r="R37" s="89"/>
      <c r="S37" s="89"/>
    </row>
    <row r="38" spans="1:19" ht="63" x14ac:dyDescent="0.25">
      <c r="A38" s="62" t="s">
        <v>54</v>
      </c>
      <c r="B38" s="4">
        <v>113260</v>
      </c>
      <c r="C38" s="11" t="s">
        <v>33</v>
      </c>
      <c r="D38" s="36" t="s">
        <v>34</v>
      </c>
      <c r="E38" s="36"/>
      <c r="F38" s="39" t="s">
        <v>521</v>
      </c>
      <c r="G38" s="59" t="s">
        <v>754</v>
      </c>
      <c r="H38" s="18" t="s">
        <v>514</v>
      </c>
      <c r="I38" s="18"/>
      <c r="J38" s="19"/>
      <c r="K38" s="19">
        <v>111</v>
      </c>
      <c r="L38" s="63">
        <v>3543000</v>
      </c>
      <c r="M38" s="89"/>
      <c r="N38" s="84" t="e">
        <f t="shared" si="0"/>
        <v>#VALUE!</v>
      </c>
      <c r="O38" s="65"/>
      <c r="P38" s="65"/>
      <c r="Q38" s="65"/>
      <c r="R38" s="89"/>
      <c r="S38" s="89"/>
    </row>
    <row r="39" spans="1:19" ht="78.75" x14ac:dyDescent="0.25">
      <c r="A39" s="62" t="s">
        <v>57</v>
      </c>
      <c r="B39" s="7">
        <v>113269</v>
      </c>
      <c r="C39" s="11" t="s">
        <v>40</v>
      </c>
      <c r="D39" s="18" t="s">
        <v>41</v>
      </c>
      <c r="E39" s="18"/>
      <c r="F39" s="18" t="s">
        <v>521</v>
      </c>
      <c r="G39" s="18" t="s">
        <v>723</v>
      </c>
      <c r="H39" s="18" t="s">
        <v>514</v>
      </c>
      <c r="I39" s="18">
        <v>37</v>
      </c>
      <c r="J39" s="19" t="s">
        <v>3</v>
      </c>
      <c r="K39" s="19">
        <v>252.86</v>
      </c>
      <c r="L39" s="63">
        <v>11852000</v>
      </c>
      <c r="M39" s="89"/>
      <c r="N39" s="84" t="e">
        <f t="shared" si="0"/>
        <v>#VALUE!</v>
      </c>
      <c r="O39" s="65"/>
      <c r="P39" s="65"/>
      <c r="Q39" s="65"/>
      <c r="R39" s="89"/>
      <c r="S39" s="89"/>
    </row>
    <row r="40" spans="1:19" ht="78.75" x14ac:dyDescent="0.25">
      <c r="A40" s="62" t="s">
        <v>60</v>
      </c>
      <c r="B40" s="7">
        <v>113269</v>
      </c>
      <c r="C40" s="11" t="s">
        <v>40</v>
      </c>
      <c r="D40" s="18" t="s">
        <v>43</v>
      </c>
      <c r="E40" s="18"/>
      <c r="F40" s="18" t="s">
        <v>521</v>
      </c>
      <c r="G40" s="18" t="s">
        <v>723</v>
      </c>
      <c r="H40" s="18" t="s">
        <v>514</v>
      </c>
      <c r="I40" s="18">
        <v>37</v>
      </c>
      <c r="J40" s="19" t="s">
        <v>3</v>
      </c>
      <c r="K40" s="19">
        <v>402.3</v>
      </c>
      <c r="L40" s="63">
        <v>17967000</v>
      </c>
      <c r="M40" s="89"/>
      <c r="N40" s="84" t="e">
        <f t="shared" si="0"/>
        <v>#VALUE!</v>
      </c>
      <c r="O40" s="65"/>
      <c r="P40" s="65"/>
      <c r="Q40" s="65"/>
      <c r="R40" s="89"/>
      <c r="S40" s="89"/>
    </row>
    <row r="41" spans="1:19" ht="78.75" x14ac:dyDescent="0.25">
      <c r="A41" s="62" t="s">
        <v>62</v>
      </c>
      <c r="B41" s="7">
        <v>113269</v>
      </c>
      <c r="C41" s="11" t="s">
        <v>40</v>
      </c>
      <c r="D41" s="18" t="s">
        <v>45</v>
      </c>
      <c r="E41" s="18"/>
      <c r="F41" s="18" t="s">
        <v>521</v>
      </c>
      <c r="G41" s="18" t="s">
        <v>723</v>
      </c>
      <c r="H41" s="18" t="s">
        <v>514</v>
      </c>
      <c r="I41" s="18">
        <v>18</v>
      </c>
      <c r="J41" s="19" t="s">
        <v>3</v>
      </c>
      <c r="K41" s="19">
        <v>185</v>
      </c>
      <c r="L41" s="63">
        <v>8570000</v>
      </c>
      <c r="M41" s="89"/>
      <c r="N41" s="84" t="e">
        <f t="shared" si="0"/>
        <v>#VALUE!</v>
      </c>
      <c r="O41" s="65"/>
      <c r="P41" s="65"/>
      <c r="Q41" s="65"/>
      <c r="R41" s="89"/>
      <c r="S41" s="89"/>
    </row>
    <row r="42" spans="1:19" ht="78.75" x14ac:dyDescent="0.25">
      <c r="A42" s="62" t="s">
        <v>65</v>
      </c>
      <c r="B42" s="7">
        <v>113269</v>
      </c>
      <c r="C42" s="11" t="s">
        <v>40</v>
      </c>
      <c r="D42" s="18" t="s">
        <v>47</v>
      </c>
      <c r="E42" s="18"/>
      <c r="F42" s="18" t="s">
        <v>521</v>
      </c>
      <c r="G42" s="18" t="s">
        <v>723</v>
      </c>
      <c r="H42" s="18" t="s">
        <v>514</v>
      </c>
      <c r="I42" s="18">
        <v>18</v>
      </c>
      <c r="J42" s="19" t="s">
        <v>3</v>
      </c>
      <c r="K42" s="19">
        <v>233</v>
      </c>
      <c r="L42" s="63">
        <v>11445000</v>
      </c>
      <c r="M42" s="89"/>
      <c r="N42" s="84" t="e">
        <f t="shared" si="0"/>
        <v>#VALUE!</v>
      </c>
      <c r="O42" s="65"/>
      <c r="P42" s="65"/>
      <c r="Q42" s="65"/>
      <c r="R42" s="89"/>
      <c r="S42" s="89"/>
    </row>
    <row r="43" spans="1:19" ht="63" x14ac:dyDescent="0.25">
      <c r="A43" s="62" t="s">
        <v>68</v>
      </c>
      <c r="B43" s="7">
        <v>113334</v>
      </c>
      <c r="C43" s="11" t="s">
        <v>49</v>
      </c>
      <c r="D43" s="18" t="s">
        <v>50</v>
      </c>
      <c r="E43" s="18"/>
      <c r="F43" s="18" t="s">
        <v>521</v>
      </c>
      <c r="G43" s="18" t="s">
        <v>724</v>
      </c>
      <c r="H43" s="18" t="s">
        <v>514</v>
      </c>
      <c r="I43" s="18">
        <v>36</v>
      </c>
      <c r="J43" s="19" t="s">
        <v>3</v>
      </c>
      <c r="K43" s="19">
        <v>461.23</v>
      </c>
      <c r="L43" s="63">
        <v>15206000</v>
      </c>
      <c r="M43" s="89"/>
      <c r="N43" s="84" t="e">
        <f t="shared" si="0"/>
        <v>#VALUE!</v>
      </c>
      <c r="O43" s="65"/>
      <c r="P43" s="65"/>
      <c r="Q43" s="65"/>
      <c r="R43" s="89"/>
      <c r="S43" s="89"/>
    </row>
    <row r="44" spans="1:19" ht="47.25" x14ac:dyDescent="0.25">
      <c r="A44" s="62" t="s">
        <v>819</v>
      </c>
      <c r="B44" s="41">
        <v>113354</v>
      </c>
      <c r="C44" s="76" t="s">
        <v>349</v>
      </c>
      <c r="D44" s="41" t="s">
        <v>350</v>
      </c>
      <c r="E44" s="41"/>
      <c r="F44" s="39" t="s">
        <v>523</v>
      </c>
      <c r="G44" s="41" t="s">
        <v>743</v>
      </c>
      <c r="H44" s="41" t="s">
        <v>532</v>
      </c>
      <c r="I44" s="66"/>
      <c r="J44" s="66"/>
      <c r="K44" s="41">
        <v>780</v>
      </c>
      <c r="L44" s="67">
        <v>8429000</v>
      </c>
      <c r="M44" s="89"/>
      <c r="N44" s="84" t="e">
        <f t="shared" si="0"/>
        <v>#VALUE!</v>
      </c>
      <c r="O44" s="65"/>
      <c r="P44" s="65"/>
      <c r="Q44" s="65"/>
      <c r="R44" s="89"/>
      <c r="S44" s="89"/>
    </row>
    <row r="45" spans="1:19" ht="47.25" x14ac:dyDescent="0.25">
      <c r="A45" s="62" t="s">
        <v>820</v>
      </c>
      <c r="B45" s="41">
        <v>113354</v>
      </c>
      <c r="C45" s="76" t="s">
        <v>349</v>
      </c>
      <c r="D45" s="41" t="s">
        <v>353</v>
      </c>
      <c r="E45" s="41"/>
      <c r="F45" s="39" t="s">
        <v>523</v>
      </c>
      <c r="G45" s="41" t="s">
        <v>757</v>
      </c>
      <c r="H45" s="41" t="s">
        <v>691</v>
      </c>
      <c r="I45" s="66"/>
      <c r="J45" s="66"/>
      <c r="K45" s="41">
        <v>780</v>
      </c>
      <c r="L45" s="67">
        <v>47155000</v>
      </c>
      <c r="M45" s="89"/>
      <c r="N45" s="84" t="e">
        <f t="shared" si="0"/>
        <v>#VALUE!</v>
      </c>
      <c r="O45" s="65"/>
      <c r="P45" s="65"/>
      <c r="Q45" s="65"/>
      <c r="R45" s="89"/>
      <c r="S45" s="89"/>
    </row>
    <row r="46" spans="1:19" ht="63" x14ac:dyDescent="0.25">
      <c r="A46" s="62" t="s">
        <v>818</v>
      </c>
      <c r="B46" s="41">
        <v>113354</v>
      </c>
      <c r="C46" s="76" t="s">
        <v>351</v>
      </c>
      <c r="D46" s="41" t="s">
        <v>352</v>
      </c>
      <c r="E46" s="41"/>
      <c r="F46" s="39" t="s">
        <v>523</v>
      </c>
      <c r="G46" s="28" t="s">
        <v>758</v>
      </c>
      <c r="H46" s="41" t="s">
        <v>532</v>
      </c>
      <c r="I46" s="66"/>
      <c r="J46" s="66"/>
      <c r="K46" s="41">
        <v>3528</v>
      </c>
      <c r="L46" s="67">
        <v>4557000</v>
      </c>
      <c r="M46" s="89"/>
      <c r="N46" s="84" t="e">
        <f t="shared" si="0"/>
        <v>#VALUE!</v>
      </c>
      <c r="O46" s="65"/>
      <c r="P46" s="65"/>
      <c r="Q46" s="65"/>
      <c r="R46" s="89"/>
      <c r="S46" s="89"/>
    </row>
    <row r="47" spans="1:19" ht="47.25" x14ac:dyDescent="0.25">
      <c r="A47" s="62" t="s">
        <v>821</v>
      </c>
      <c r="B47" s="41">
        <v>113400</v>
      </c>
      <c r="C47" s="76" t="s">
        <v>486</v>
      </c>
      <c r="D47" s="41" t="s">
        <v>354</v>
      </c>
      <c r="E47" s="41"/>
      <c r="F47" s="39" t="s">
        <v>527</v>
      </c>
      <c r="G47" s="41" t="s">
        <v>744</v>
      </c>
      <c r="H47" s="41" t="s">
        <v>513</v>
      </c>
      <c r="I47" s="65"/>
      <c r="J47" s="66"/>
      <c r="K47" s="41">
        <v>11224</v>
      </c>
      <c r="L47" s="67">
        <v>95610000</v>
      </c>
      <c r="M47" s="89"/>
      <c r="N47" s="84" t="e">
        <f t="shared" si="0"/>
        <v>#VALUE!</v>
      </c>
      <c r="O47" s="65"/>
      <c r="P47" s="65"/>
      <c r="Q47" s="65"/>
      <c r="R47" s="89"/>
      <c r="S47" s="89"/>
    </row>
    <row r="48" spans="1:19" ht="47.25" x14ac:dyDescent="0.25">
      <c r="A48" s="62" t="s">
        <v>822</v>
      </c>
      <c r="B48" s="41">
        <v>113443</v>
      </c>
      <c r="C48" s="76" t="s">
        <v>487</v>
      </c>
      <c r="D48" s="41" t="s">
        <v>355</v>
      </c>
      <c r="E48" s="41"/>
      <c r="F48" s="39" t="s">
        <v>648</v>
      </c>
      <c r="G48" s="41" t="s">
        <v>745</v>
      </c>
      <c r="H48" s="41" t="s">
        <v>514</v>
      </c>
      <c r="I48" s="65"/>
      <c r="J48" s="65"/>
      <c r="K48" s="41">
        <v>96</v>
      </c>
      <c r="L48" s="67">
        <v>2030000</v>
      </c>
      <c r="M48" s="89"/>
      <c r="N48" s="84" t="e">
        <f t="shared" si="0"/>
        <v>#VALUE!</v>
      </c>
      <c r="O48" s="65"/>
      <c r="P48" s="65"/>
      <c r="Q48" s="65"/>
      <c r="R48" s="89"/>
      <c r="S48" s="89"/>
    </row>
    <row r="49" spans="1:19" ht="47.25" x14ac:dyDescent="0.25">
      <c r="A49" s="62" t="s">
        <v>823</v>
      </c>
      <c r="B49" s="41">
        <v>113443</v>
      </c>
      <c r="C49" s="76" t="s">
        <v>487</v>
      </c>
      <c r="D49" s="41" t="s">
        <v>356</v>
      </c>
      <c r="E49" s="41"/>
      <c r="F49" s="39" t="s">
        <v>648</v>
      </c>
      <c r="G49" s="41" t="s">
        <v>745</v>
      </c>
      <c r="H49" s="41" t="s">
        <v>514</v>
      </c>
      <c r="I49" s="65"/>
      <c r="J49" s="66"/>
      <c r="K49" s="41">
        <v>70</v>
      </c>
      <c r="L49" s="67">
        <v>1290000</v>
      </c>
      <c r="M49" s="89"/>
      <c r="N49" s="84" t="e">
        <f t="shared" si="0"/>
        <v>#VALUE!</v>
      </c>
      <c r="O49" s="65"/>
      <c r="P49" s="65"/>
      <c r="Q49" s="65"/>
      <c r="R49" s="89"/>
      <c r="S49" s="89"/>
    </row>
    <row r="50" spans="1:19" ht="47.25" x14ac:dyDescent="0.25">
      <c r="A50" s="62" t="s">
        <v>824</v>
      </c>
      <c r="B50" s="41">
        <v>113443</v>
      </c>
      <c r="C50" s="76" t="s">
        <v>487</v>
      </c>
      <c r="D50" s="41" t="s">
        <v>357</v>
      </c>
      <c r="E50" s="41"/>
      <c r="F50" s="39" t="s">
        <v>648</v>
      </c>
      <c r="G50" s="41" t="s">
        <v>745</v>
      </c>
      <c r="H50" s="41" t="s">
        <v>514</v>
      </c>
      <c r="I50" s="65"/>
      <c r="J50" s="66"/>
      <c r="K50" s="41">
        <v>95</v>
      </c>
      <c r="L50" s="67">
        <v>1330000</v>
      </c>
      <c r="M50" s="89"/>
      <c r="N50" s="84" t="e">
        <f t="shared" si="0"/>
        <v>#VALUE!</v>
      </c>
      <c r="O50" s="65"/>
      <c r="P50" s="65"/>
      <c r="Q50" s="65"/>
      <c r="R50" s="89"/>
      <c r="S50" s="89"/>
    </row>
    <row r="51" spans="1:19" ht="110.25" x14ac:dyDescent="0.25">
      <c r="A51" s="62" t="s">
        <v>70</v>
      </c>
      <c r="B51" s="7">
        <v>113497</v>
      </c>
      <c r="C51" s="11" t="s">
        <v>52</v>
      </c>
      <c r="D51" s="18" t="s">
        <v>53</v>
      </c>
      <c r="E51" s="18"/>
      <c r="F51" s="18" t="s">
        <v>521</v>
      </c>
      <c r="G51" s="18" t="s">
        <v>725</v>
      </c>
      <c r="H51" s="18" t="s">
        <v>514</v>
      </c>
      <c r="I51" s="18">
        <v>12</v>
      </c>
      <c r="J51" s="19"/>
      <c r="K51" s="19">
        <v>168.02</v>
      </c>
      <c r="L51" s="63">
        <v>8537000</v>
      </c>
      <c r="M51" s="89"/>
      <c r="N51" s="84" t="e">
        <f t="shared" si="0"/>
        <v>#VALUE!</v>
      </c>
      <c r="O51" s="65"/>
      <c r="P51" s="65"/>
      <c r="Q51" s="65"/>
      <c r="R51" s="89"/>
      <c r="S51" s="89"/>
    </row>
    <row r="52" spans="1:19" ht="78.75" x14ac:dyDescent="0.25">
      <c r="A52" s="62" t="s">
        <v>72</v>
      </c>
      <c r="B52" s="7">
        <v>113525</v>
      </c>
      <c r="C52" s="11" t="s">
        <v>55</v>
      </c>
      <c r="D52" s="18" t="s">
        <v>56</v>
      </c>
      <c r="E52" s="18"/>
      <c r="F52" s="18" t="s">
        <v>521</v>
      </c>
      <c r="G52" s="18" t="s">
        <v>726</v>
      </c>
      <c r="H52" s="18" t="s">
        <v>684</v>
      </c>
      <c r="I52" s="18">
        <v>22</v>
      </c>
      <c r="J52" s="19" t="s">
        <v>3</v>
      </c>
      <c r="K52" s="19">
        <v>1357</v>
      </c>
      <c r="L52" s="63">
        <v>48268000</v>
      </c>
      <c r="M52" s="89"/>
      <c r="N52" s="84" t="e">
        <f t="shared" si="0"/>
        <v>#VALUE!</v>
      </c>
      <c r="O52" s="65"/>
      <c r="P52" s="65"/>
      <c r="Q52" s="65"/>
      <c r="R52" s="89"/>
      <c r="S52" s="89"/>
    </row>
    <row r="53" spans="1:19" ht="63" x14ac:dyDescent="0.25">
      <c r="A53" s="62" t="s">
        <v>74</v>
      </c>
      <c r="B53" s="7">
        <v>113529</v>
      </c>
      <c r="C53" s="11" t="s">
        <v>58</v>
      </c>
      <c r="D53" s="18" t="s">
        <v>59</v>
      </c>
      <c r="E53" s="18"/>
      <c r="F53" s="18" t="s">
        <v>521</v>
      </c>
      <c r="G53" s="18" t="s">
        <v>727</v>
      </c>
      <c r="H53" s="18" t="s">
        <v>514</v>
      </c>
      <c r="I53" s="18">
        <v>37</v>
      </c>
      <c r="J53" s="19" t="s">
        <v>3</v>
      </c>
      <c r="K53" s="19">
        <v>366</v>
      </c>
      <c r="L53" s="63">
        <v>7653000</v>
      </c>
      <c r="M53" s="89"/>
      <c r="N53" s="84" t="e">
        <f t="shared" si="0"/>
        <v>#VALUE!</v>
      </c>
      <c r="O53" s="65"/>
      <c r="P53" s="65"/>
      <c r="Q53" s="65"/>
      <c r="R53" s="89"/>
      <c r="S53" s="89"/>
    </row>
    <row r="54" spans="1:19" ht="94.5" x14ac:dyDescent="0.25">
      <c r="A54" s="62" t="s">
        <v>76</v>
      </c>
      <c r="B54" s="7">
        <v>113529</v>
      </c>
      <c r="C54" s="11" t="s">
        <v>58</v>
      </c>
      <c r="D54" s="18" t="s">
        <v>61</v>
      </c>
      <c r="E54" s="18"/>
      <c r="F54" s="18" t="s">
        <v>521</v>
      </c>
      <c r="G54" s="18" t="s">
        <v>728</v>
      </c>
      <c r="H54" s="18" t="s">
        <v>514</v>
      </c>
      <c r="I54" s="18">
        <v>20</v>
      </c>
      <c r="J54" s="19" t="s">
        <v>3</v>
      </c>
      <c r="K54" s="19">
        <v>48.5</v>
      </c>
      <c r="L54" s="63">
        <v>1618000</v>
      </c>
      <c r="M54" s="89"/>
      <c r="N54" s="84" t="e">
        <f t="shared" si="0"/>
        <v>#VALUE!</v>
      </c>
      <c r="O54" s="65"/>
      <c r="P54" s="65"/>
      <c r="Q54" s="65"/>
      <c r="R54" s="89"/>
      <c r="S54" s="89"/>
    </row>
    <row r="55" spans="1:19" ht="47.25" x14ac:dyDescent="0.25">
      <c r="A55" s="62" t="s">
        <v>79</v>
      </c>
      <c r="B55" s="7">
        <v>113556</v>
      </c>
      <c r="C55" s="11" t="s">
        <v>63</v>
      </c>
      <c r="D55" s="18" t="s">
        <v>64</v>
      </c>
      <c r="E55" s="18"/>
      <c r="F55" s="18" t="s">
        <v>521</v>
      </c>
      <c r="G55" s="4" t="s">
        <v>729</v>
      </c>
      <c r="H55" s="18" t="s">
        <v>532</v>
      </c>
      <c r="I55" s="18">
        <v>21</v>
      </c>
      <c r="J55" s="19">
        <v>8800</v>
      </c>
      <c r="K55" s="19">
        <v>8357</v>
      </c>
      <c r="L55" s="63">
        <v>566712000</v>
      </c>
      <c r="M55" s="89"/>
      <c r="N55" s="84" t="e">
        <f t="shared" si="0"/>
        <v>#VALUE!</v>
      </c>
      <c r="O55" s="65"/>
      <c r="P55" s="65"/>
      <c r="Q55" s="65"/>
      <c r="R55" s="89"/>
      <c r="S55" s="89"/>
    </row>
    <row r="56" spans="1:19" ht="47.25" x14ac:dyDescent="0.25">
      <c r="A56" s="62" t="s">
        <v>82</v>
      </c>
      <c r="B56" s="7">
        <v>113595</v>
      </c>
      <c r="C56" s="11" t="s">
        <v>66</v>
      </c>
      <c r="D56" s="18" t="s">
        <v>67</v>
      </c>
      <c r="E56" s="18"/>
      <c r="F56" s="18" t="s">
        <v>521</v>
      </c>
      <c r="G56" s="4" t="s">
        <v>753</v>
      </c>
      <c r="H56" s="18" t="s">
        <v>532</v>
      </c>
      <c r="I56" s="18">
        <v>9</v>
      </c>
      <c r="J56" s="19" t="s">
        <v>3</v>
      </c>
      <c r="K56" s="19">
        <v>2023</v>
      </c>
      <c r="L56" s="63">
        <v>131008000</v>
      </c>
      <c r="M56" s="89"/>
      <c r="N56" s="84" t="e">
        <f t="shared" si="0"/>
        <v>#VALUE!</v>
      </c>
      <c r="O56" s="65"/>
      <c r="P56" s="65"/>
      <c r="Q56" s="65"/>
      <c r="R56" s="89"/>
      <c r="S56" s="89"/>
    </row>
    <row r="57" spans="1:19" ht="63" x14ac:dyDescent="0.25">
      <c r="A57" s="62" t="s">
        <v>84</v>
      </c>
      <c r="B57" s="7">
        <v>113676</v>
      </c>
      <c r="C57" s="11" t="s">
        <v>69</v>
      </c>
      <c r="D57" s="18">
        <v>59</v>
      </c>
      <c r="E57" s="18"/>
      <c r="F57" s="18" t="s">
        <v>521</v>
      </c>
      <c r="G57" s="18" t="s">
        <v>730</v>
      </c>
      <c r="H57" s="18" t="s">
        <v>514</v>
      </c>
      <c r="I57" s="18">
        <v>15</v>
      </c>
      <c r="J57" s="19" t="s">
        <v>3</v>
      </c>
      <c r="K57" s="19">
        <v>256.3</v>
      </c>
      <c r="L57" s="63">
        <v>5345000</v>
      </c>
      <c r="M57" s="89"/>
      <c r="N57" s="84" t="e">
        <f t="shared" si="0"/>
        <v>#VALUE!</v>
      </c>
      <c r="O57" s="65"/>
      <c r="P57" s="65"/>
      <c r="Q57" s="65"/>
      <c r="R57" s="89"/>
      <c r="S57" s="89"/>
    </row>
    <row r="58" spans="1:19" ht="94.5" x14ac:dyDescent="0.25">
      <c r="A58" s="62" t="s">
        <v>87</v>
      </c>
      <c r="B58" s="7">
        <v>113676</v>
      </c>
      <c r="C58" s="11" t="s">
        <v>69</v>
      </c>
      <c r="D58" s="18" t="s">
        <v>71</v>
      </c>
      <c r="E58" s="18"/>
      <c r="F58" s="18" t="s">
        <v>521</v>
      </c>
      <c r="G58" s="18" t="s">
        <v>731</v>
      </c>
      <c r="H58" s="18" t="s">
        <v>514</v>
      </c>
      <c r="I58" s="18">
        <v>8</v>
      </c>
      <c r="J58" s="19" t="s">
        <v>3</v>
      </c>
      <c r="K58" s="19">
        <v>270</v>
      </c>
      <c r="L58" s="63">
        <v>13489000</v>
      </c>
      <c r="M58" s="89"/>
      <c r="N58" s="84" t="e">
        <f t="shared" si="0"/>
        <v>#VALUE!</v>
      </c>
      <c r="O58" s="65"/>
      <c r="P58" s="65"/>
      <c r="Q58" s="65"/>
      <c r="R58" s="89"/>
      <c r="S58" s="89"/>
    </row>
    <row r="59" spans="1:19" ht="94.5" x14ac:dyDescent="0.25">
      <c r="A59" s="62" t="s">
        <v>90</v>
      </c>
      <c r="B59" s="7">
        <v>113676</v>
      </c>
      <c r="C59" s="11" t="s">
        <v>69</v>
      </c>
      <c r="D59" s="18" t="s">
        <v>73</v>
      </c>
      <c r="E59" s="18"/>
      <c r="F59" s="18" t="s">
        <v>521</v>
      </c>
      <c r="G59" s="18" t="s">
        <v>731</v>
      </c>
      <c r="H59" s="18" t="s">
        <v>514</v>
      </c>
      <c r="I59" s="18">
        <v>8</v>
      </c>
      <c r="J59" s="19" t="s">
        <v>3</v>
      </c>
      <c r="K59" s="19">
        <v>270</v>
      </c>
      <c r="L59" s="63">
        <v>13504000</v>
      </c>
      <c r="M59" s="89"/>
      <c r="N59" s="84" t="e">
        <f t="shared" si="0"/>
        <v>#VALUE!</v>
      </c>
      <c r="O59" s="65"/>
      <c r="P59" s="65"/>
      <c r="Q59" s="65"/>
      <c r="R59" s="89"/>
      <c r="S59" s="89"/>
    </row>
    <row r="60" spans="1:19" ht="94.5" x14ac:dyDescent="0.25">
      <c r="A60" s="62" t="s">
        <v>92</v>
      </c>
      <c r="B60" s="7">
        <v>113676</v>
      </c>
      <c r="C60" s="11" t="s">
        <v>69</v>
      </c>
      <c r="D60" s="18" t="s">
        <v>75</v>
      </c>
      <c r="E60" s="18"/>
      <c r="F60" s="18" t="s">
        <v>521</v>
      </c>
      <c r="G60" s="18" t="s">
        <v>731</v>
      </c>
      <c r="H60" s="18" t="s">
        <v>514</v>
      </c>
      <c r="I60" s="18">
        <v>8</v>
      </c>
      <c r="J60" s="19"/>
      <c r="K60" s="19">
        <v>270</v>
      </c>
      <c r="L60" s="63">
        <v>13518000</v>
      </c>
      <c r="M60" s="89"/>
      <c r="N60" s="84" t="e">
        <f t="shared" si="0"/>
        <v>#VALUE!</v>
      </c>
      <c r="O60" s="65"/>
      <c r="P60" s="65"/>
      <c r="Q60" s="65"/>
      <c r="R60" s="89"/>
      <c r="S60" s="89"/>
    </row>
    <row r="61" spans="1:19" ht="63" x14ac:dyDescent="0.25">
      <c r="A61" s="62" t="s">
        <v>825</v>
      </c>
      <c r="B61" s="41">
        <v>113719</v>
      </c>
      <c r="C61" s="76" t="s">
        <v>358</v>
      </c>
      <c r="D61" s="41" t="s">
        <v>361</v>
      </c>
      <c r="E61" s="41"/>
      <c r="F61" s="39" t="s">
        <v>523</v>
      </c>
      <c r="G61" s="41" t="s">
        <v>760</v>
      </c>
      <c r="H61" s="41" t="s">
        <v>692</v>
      </c>
      <c r="I61" s="65"/>
      <c r="J61" s="66"/>
      <c r="K61" s="41">
        <v>1900</v>
      </c>
      <c r="L61" s="67">
        <v>12134000</v>
      </c>
      <c r="M61" s="89"/>
      <c r="N61" s="84" t="e">
        <f t="shared" si="0"/>
        <v>#VALUE!</v>
      </c>
      <c r="O61" s="65"/>
      <c r="P61" s="65"/>
      <c r="Q61" s="65"/>
      <c r="R61" s="89"/>
      <c r="S61" s="89"/>
    </row>
    <row r="62" spans="1:19" ht="47.25" x14ac:dyDescent="0.25">
      <c r="A62" s="62" t="s">
        <v>826</v>
      </c>
      <c r="B62" s="41">
        <v>113719</v>
      </c>
      <c r="C62" s="76" t="s">
        <v>358</v>
      </c>
      <c r="D62" s="41" t="s">
        <v>360</v>
      </c>
      <c r="E62" s="41"/>
      <c r="F62" s="39" t="s">
        <v>523</v>
      </c>
      <c r="G62" s="41" t="s">
        <v>746</v>
      </c>
      <c r="H62" s="41" t="s">
        <v>532</v>
      </c>
      <c r="I62" s="65"/>
      <c r="J62" s="66"/>
      <c r="K62" s="41">
        <v>972</v>
      </c>
      <c r="L62" s="67">
        <v>8198000</v>
      </c>
      <c r="M62" s="89"/>
      <c r="N62" s="84" t="e">
        <f t="shared" si="0"/>
        <v>#VALUE!</v>
      </c>
      <c r="O62" s="65"/>
      <c r="P62" s="65"/>
      <c r="Q62" s="65"/>
      <c r="R62" s="89"/>
      <c r="S62" s="89"/>
    </row>
    <row r="63" spans="1:19" ht="47.25" x14ac:dyDescent="0.25">
      <c r="A63" s="62" t="s">
        <v>827</v>
      </c>
      <c r="B63" s="41">
        <v>113719</v>
      </c>
      <c r="C63" s="76" t="s">
        <v>358</v>
      </c>
      <c r="D63" s="41" t="s">
        <v>359</v>
      </c>
      <c r="E63" s="41"/>
      <c r="F63" s="39" t="s">
        <v>523</v>
      </c>
      <c r="G63" s="41" t="s">
        <v>747</v>
      </c>
      <c r="H63" s="41" t="s">
        <v>513</v>
      </c>
      <c r="I63" s="65"/>
      <c r="J63" s="66"/>
      <c r="K63" s="41">
        <v>800</v>
      </c>
      <c r="L63" s="67">
        <v>8289000</v>
      </c>
      <c r="M63" s="89"/>
      <c r="N63" s="84" t="e">
        <f t="shared" si="0"/>
        <v>#VALUE!</v>
      </c>
      <c r="O63" s="65"/>
      <c r="P63" s="65"/>
      <c r="Q63" s="65"/>
      <c r="R63" s="89"/>
      <c r="S63" s="89"/>
    </row>
    <row r="64" spans="1:19" ht="63" x14ac:dyDescent="0.25">
      <c r="A64" s="62" t="s">
        <v>828</v>
      </c>
      <c r="B64" s="41">
        <v>113719</v>
      </c>
      <c r="C64" s="76" t="s">
        <v>358</v>
      </c>
      <c r="D64" s="41" t="s">
        <v>362</v>
      </c>
      <c r="E64" s="41"/>
      <c r="F64" s="39" t="s">
        <v>523</v>
      </c>
      <c r="G64" s="41" t="s">
        <v>761</v>
      </c>
      <c r="H64" s="41" t="s">
        <v>513</v>
      </c>
      <c r="I64" s="65"/>
      <c r="J64" s="66"/>
      <c r="K64" s="41">
        <v>1447</v>
      </c>
      <c r="L64" s="67">
        <v>6021000</v>
      </c>
      <c r="M64" s="89"/>
      <c r="N64" s="84" t="e">
        <f t="shared" si="0"/>
        <v>#VALUE!</v>
      </c>
      <c r="O64" s="65"/>
      <c r="P64" s="65"/>
      <c r="Q64" s="65"/>
      <c r="R64" s="89"/>
      <c r="S64" s="89"/>
    </row>
    <row r="65" spans="1:19" ht="47.25" x14ac:dyDescent="0.25">
      <c r="A65" s="62" t="s">
        <v>829</v>
      </c>
      <c r="B65" s="41">
        <v>113886</v>
      </c>
      <c r="C65" s="76" t="s">
        <v>363</v>
      </c>
      <c r="D65" s="41" t="s">
        <v>364</v>
      </c>
      <c r="E65" s="41"/>
      <c r="F65" s="39" t="s">
        <v>530</v>
      </c>
      <c r="G65" s="28" t="s">
        <v>751</v>
      </c>
      <c r="H65" s="41" t="s">
        <v>513</v>
      </c>
      <c r="I65" s="65"/>
      <c r="J65" s="66"/>
      <c r="K65" s="41">
        <v>2100000</v>
      </c>
      <c r="L65" s="67">
        <v>133960000</v>
      </c>
      <c r="M65" s="89"/>
      <c r="N65" s="84" t="e">
        <f t="shared" si="0"/>
        <v>#VALUE!</v>
      </c>
      <c r="O65" s="65"/>
      <c r="P65" s="65"/>
      <c r="Q65" s="65"/>
      <c r="R65" s="89"/>
      <c r="S65" s="89"/>
    </row>
    <row r="66" spans="1:19" ht="47.25" x14ac:dyDescent="0.25">
      <c r="A66" s="62" t="s">
        <v>830</v>
      </c>
      <c r="B66" s="41">
        <v>113939</v>
      </c>
      <c r="C66" s="76" t="s">
        <v>365</v>
      </c>
      <c r="D66" s="41">
        <v>22</v>
      </c>
      <c r="E66" s="41"/>
      <c r="F66" s="39" t="s">
        <v>533</v>
      </c>
      <c r="G66" s="41" t="s">
        <v>759</v>
      </c>
      <c r="H66" s="41" t="s">
        <v>513</v>
      </c>
      <c r="I66" s="65"/>
      <c r="J66" s="66"/>
      <c r="K66" s="41">
        <v>300</v>
      </c>
      <c r="L66" s="67">
        <v>18118000</v>
      </c>
      <c r="M66" s="89"/>
      <c r="N66" s="84" t="e">
        <f t="shared" ref="N66:N129" si="1">_xlfn.LET(
  _xlpm.y,VALUE(RIGHT(M66,4)),
  _xlpm.m,VALUE(MID(M66,4,2)),
  _xlpm.d,VALUE(LEFT(M66,2)),
  _xlpm.doy,IF(_xlpm.m&lt;=6,(_xlpm.m-1)*31+_xlpm.d,186+(_xlpm.m-7)*30+_xlpm.d),
  _xlpm.jdn,1948320+(_xlpm.y-1)*365+INT(((_xlpm.y-1)*8+21)/33)+_xlpm.doy,
  _xlpm.jdn-2415020
)</f>
        <v>#VALUE!</v>
      </c>
      <c r="O66" s="65"/>
      <c r="P66" s="65"/>
      <c r="Q66" s="65"/>
      <c r="R66" s="89"/>
      <c r="S66" s="89"/>
    </row>
    <row r="67" spans="1:19" ht="31.5" x14ac:dyDescent="0.25">
      <c r="A67" s="62" t="s">
        <v>831</v>
      </c>
      <c r="B67" s="41">
        <v>113939</v>
      </c>
      <c r="C67" s="76" t="s">
        <v>365</v>
      </c>
      <c r="D67" s="41" t="s">
        <v>366</v>
      </c>
      <c r="E67" s="41"/>
      <c r="F67" s="39" t="s">
        <v>528</v>
      </c>
      <c r="G67" s="41" t="s">
        <v>748</v>
      </c>
      <c r="H67" s="41" t="s">
        <v>532</v>
      </c>
      <c r="I67" s="65"/>
      <c r="J67" s="66"/>
      <c r="K67" s="41">
        <v>480</v>
      </c>
      <c r="L67" s="67">
        <v>9605000</v>
      </c>
      <c r="M67" s="89"/>
      <c r="N67" s="84" t="e">
        <f t="shared" si="1"/>
        <v>#VALUE!</v>
      </c>
      <c r="O67" s="65"/>
      <c r="P67" s="65"/>
      <c r="Q67" s="65"/>
      <c r="R67" s="89"/>
      <c r="S67" s="89"/>
    </row>
    <row r="68" spans="1:19" ht="47.25" x14ac:dyDescent="0.25">
      <c r="A68" s="62" t="s">
        <v>94</v>
      </c>
      <c r="B68" s="7">
        <v>113990</v>
      </c>
      <c r="C68" s="11" t="s">
        <v>77</v>
      </c>
      <c r="D68" s="18" t="s">
        <v>78</v>
      </c>
      <c r="E68" s="18"/>
      <c r="F68" s="18" t="s">
        <v>521</v>
      </c>
      <c r="G68" s="18" t="s">
        <v>732</v>
      </c>
      <c r="H68" s="25" t="s">
        <v>514</v>
      </c>
      <c r="I68" s="25" t="s">
        <v>3</v>
      </c>
      <c r="J68" s="25" t="s">
        <v>3</v>
      </c>
      <c r="K68" s="25" t="s">
        <v>3</v>
      </c>
      <c r="L68" s="63">
        <v>12172000</v>
      </c>
      <c r="M68" s="89"/>
      <c r="N68" s="84" t="e">
        <f t="shared" si="1"/>
        <v>#VALUE!</v>
      </c>
      <c r="O68" s="65"/>
      <c r="P68" s="65"/>
      <c r="Q68" s="65"/>
      <c r="R68" s="89"/>
      <c r="S68" s="89"/>
    </row>
    <row r="69" spans="1:19" ht="47.25" x14ac:dyDescent="0.25">
      <c r="A69" s="62" t="s">
        <v>96</v>
      </c>
      <c r="B69" s="7">
        <v>114021</v>
      </c>
      <c r="C69" s="11" t="s">
        <v>80</v>
      </c>
      <c r="D69" s="23" t="s">
        <v>83</v>
      </c>
      <c r="E69" s="23"/>
      <c r="F69" s="18" t="s">
        <v>521</v>
      </c>
      <c r="G69" s="18" t="s">
        <v>733</v>
      </c>
      <c r="H69" s="18" t="s">
        <v>514</v>
      </c>
      <c r="I69" s="18">
        <v>18</v>
      </c>
      <c r="J69" s="19" t="s">
        <v>3</v>
      </c>
      <c r="K69" s="19">
        <v>78.94</v>
      </c>
      <c r="L69" s="63">
        <v>2797000</v>
      </c>
      <c r="M69" s="89"/>
      <c r="N69" s="84" t="e">
        <f t="shared" si="1"/>
        <v>#VALUE!</v>
      </c>
      <c r="O69" s="65"/>
      <c r="P69" s="65"/>
      <c r="Q69" s="65"/>
      <c r="R69" s="89"/>
      <c r="S69" s="89"/>
    </row>
    <row r="70" spans="1:19" ht="63" x14ac:dyDescent="0.25">
      <c r="A70" s="62" t="s">
        <v>98</v>
      </c>
      <c r="B70" s="7">
        <v>114021</v>
      </c>
      <c r="C70" s="11" t="s">
        <v>80</v>
      </c>
      <c r="D70" s="23" t="s">
        <v>81</v>
      </c>
      <c r="E70" s="23"/>
      <c r="F70" s="18" t="s">
        <v>521</v>
      </c>
      <c r="G70" s="18" t="s">
        <v>734</v>
      </c>
      <c r="H70" s="18" t="s">
        <v>685</v>
      </c>
      <c r="I70" s="18">
        <v>17</v>
      </c>
      <c r="J70" s="19" t="s">
        <v>3</v>
      </c>
      <c r="K70" s="19">
        <v>40.03</v>
      </c>
      <c r="L70" s="63">
        <v>1107000</v>
      </c>
      <c r="M70" s="89"/>
      <c r="N70" s="84" t="e">
        <f t="shared" si="1"/>
        <v>#VALUE!</v>
      </c>
      <c r="O70" s="65"/>
      <c r="P70" s="65"/>
      <c r="Q70" s="65"/>
      <c r="R70" s="89"/>
      <c r="S70" s="89"/>
    </row>
    <row r="71" spans="1:19" ht="63" x14ac:dyDescent="0.25">
      <c r="A71" s="62" t="s">
        <v>101</v>
      </c>
      <c r="B71" s="7">
        <v>114192</v>
      </c>
      <c r="C71" s="11" t="s">
        <v>85</v>
      </c>
      <c r="D71" s="18" t="s">
        <v>86</v>
      </c>
      <c r="E71" s="18"/>
      <c r="F71" s="18" t="s">
        <v>521</v>
      </c>
      <c r="G71" s="18" t="s">
        <v>735</v>
      </c>
      <c r="H71" s="18" t="s">
        <v>514</v>
      </c>
      <c r="I71" s="18">
        <v>15</v>
      </c>
      <c r="J71" s="19" t="s">
        <v>3</v>
      </c>
      <c r="K71" s="19">
        <v>237.25</v>
      </c>
      <c r="L71" s="63">
        <v>11701000</v>
      </c>
      <c r="M71" s="89"/>
      <c r="N71" s="84" t="e">
        <f t="shared" si="1"/>
        <v>#VALUE!</v>
      </c>
      <c r="O71" s="65"/>
      <c r="P71" s="65"/>
      <c r="Q71" s="65"/>
      <c r="R71" s="89"/>
      <c r="S71" s="89"/>
    </row>
    <row r="72" spans="1:19" ht="47.25" x14ac:dyDescent="0.25">
      <c r="A72" s="62" t="s">
        <v>832</v>
      </c>
      <c r="B72" s="4">
        <v>132294</v>
      </c>
      <c r="C72" s="11" t="s">
        <v>367</v>
      </c>
      <c r="D72" s="36" t="s">
        <v>368</v>
      </c>
      <c r="E72" s="36"/>
      <c r="F72" s="39" t="s">
        <v>594</v>
      </c>
      <c r="G72" s="18" t="s">
        <v>749</v>
      </c>
      <c r="H72" s="41" t="s">
        <v>513</v>
      </c>
      <c r="I72" s="65"/>
      <c r="J72" s="66"/>
      <c r="K72" s="41">
        <v>250</v>
      </c>
      <c r="L72" s="67">
        <v>0</v>
      </c>
      <c r="M72" s="89"/>
      <c r="N72" s="84" t="e">
        <f t="shared" si="1"/>
        <v>#VALUE!</v>
      </c>
      <c r="O72" s="65"/>
      <c r="P72" s="65"/>
      <c r="Q72" s="65"/>
      <c r="R72" s="89"/>
      <c r="S72" s="89"/>
    </row>
    <row r="73" spans="1:19" ht="63" x14ac:dyDescent="0.25">
      <c r="A73" s="62" t="s">
        <v>103</v>
      </c>
      <c r="B73" s="9">
        <v>153149</v>
      </c>
      <c r="C73" s="1" t="s">
        <v>110</v>
      </c>
      <c r="D73" s="17" t="s">
        <v>111</v>
      </c>
      <c r="E73" s="17"/>
      <c r="F73" s="18" t="s">
        <v>521</v>
      </c>
      <c r="G73" s="26" t="s">
        <v>635</v>
      </c>
      <c r="H73" s="18" t="s">
        <v>514</v>
      </c>
      <c r="I73" s="19" t="s">
        <v>3</v>
      </c>
      <c r="J73" s="18"/>
      <c r="K73" s="18">
        <v>284</v>
      </c>
      <c r="L73" s="63">
        <v>9281000</v>
      </c>
      <c r="M73" s="89"/>
      <c r="N73" s="84" t="e">
        <f t="shared" si="1"/>
        <v>#VALUE!</v>
      </c>
      <c r="O73" s="65"/>
      <c r="P73" s="65"/>
      <c r="Q73" s="65"/>
      <c r="R73" s="89"/>
      <c r="S73" s="89"/>
    </row>
    <row r="74" spans="1:19" ht="47.25" x14ac:dyDescent="0.25">
      <c r="A74" s="62" t="s">
        <v>105</v>
      </c>
      <c r="B74" s="9">
        <v>153149</v>
      </c>
      <c r="C74" s="1" t="s">
        <v>110</v>
      </c>
      <c r="D74" s="17" t="s">
        <v>113</v>
      </c>
      <c r="E74" s="17"/>
      <c r="F74" s="18" t="s">
        <v>521</v>
      </c>
      <c r="G74" s="26" t="s">
        <v>636</v>
      </c>
      <c r="H74" s="18" t="s">
        <v>514</v>
      </c>
      <c r="I74" s="19" t="s">
        <v>3</v>
      </c>
      <c r="J74" s="18" t="s">
        <v>3</v>
      </c>
      <c r="K74" s="27">
        <v>193</v>
      </c>
      <c r="L74" s="63">
        <v>11026000</v>
      </c>
      <c r="M74" s="89"/>
      <c r="N74" s="84" t="e">
        <f t="shared" si="1"/>
        <v>#VALUE!</v>
      </c>
      <c r="O74" s="65"/>
      <c r="P74" s="65"/>
      <c r="Q74" s="65"/>
      <c r="R74" s="89"/>
      <c r="S74" s="89"/>
    </row>
    <row r="75" spans="1:19" ht="63" x14ac:dyDescent="0.25">
      <c r="A75" s="62" t="s">
        <v>107</v>
      </c>
      <c r="B75" s="6">
        <v>153583</v>
      </c>
      <c r="C75" s="1" t="s">
        <v>115</v>
      </c>
      <c r="D75" s="17" t="s">
        <v>116</v>
      </c>
      <c r="E75" s="17"/>
      <c r="F75" s="18" t="s">
        <v>521</v>
      </c>
      <c r="G75" s="26" t="s">
        <v>637</v>
      </c>
      <c r="H75" s="18" t="s">
        <v>514</v>
      </c>
      <c r="I75" s="18" t="s">
        <v>3</v>
      </c>
      <c r="J75" s="18" t="s">
        <v>3</v>
      </c>
      <c r="K75" s="18">
        <v>84</v>
      </c>
      <c r="L75" s="63">
        <v>5496000</v>
      </c>
      <c r="M75" s="89"/>
      <c r="N75" s="84" t="e">
        <f t="shared" si="1"/>
        <v>#VALUE!</v>
      </c>
      <c r="O75" s="65"/>
      <c r="P75" s="65"/>
      <c r="Q75" s="65"/>
      <c r="R75" s="89"/>
      <c r="S75" s="89"/>
    </row>
    <row r="76" spans="1:19" ht="31.5" x14ac:dyDescent="0.25">
      <c r="A76" s="62" t="s">
        <v>496</v>
      </c>
      <c r="B76" s="6">
        <v>153674</v>
      </c>
      <c r="C76" s="1" t="s">
        <v>118</v>
      </c>
      <c r="D76" s="17" t="s">
        <v>119</v>
      </c>
      <c r="E76" s="17"/>
      <c r="F76" s="18" t="s">
        <v>521</v>
      </c>
      <c r="G76" s="26" t="s">
        <v>670</v>
      </c>
      <c r="H76" s="18" t="s">
        <v>514</v>
      </c>
      <c r="I76" s="17">
        <v>33</v>
      </c>
      <c r="J76" s="18" t="s">
        <v>3</v>
      </c>
      <c r="K76" s="27">
        <v>126.31</v>
      </c>
      <c r="L76" s="63">
        <v>5515000</v>
      </c>
      <c r="M76" s="89"/>
      <c r="N76" s="84" t="e">
        <f t="shared" si="1"/>
        <v>#VALUE!</v>
      </c>
      <c r="O76" s="65"/>
      <c r="P76" s="65"/>
      <c r="Q76" s="65"/>
      <c r="R76" s="89"/>
      <c r="S76" s="89"/>
    </row>
    <row r="77" spans="1:19" ht="31.5" x14ac:dyDescent="0.25">
      <c r="A77" s="62" t="s">
        <v>497</v>
      </c>
      <c r="B77" s="6">
        <v>153674</v>
      </c>
      <c r="C77" s="1" t="s">
        <v>118</v>
      </c>
      <c r="D77" s="17" t="s">
        <v>121</v>
      </c>
      <c r="E77" s="17"/>
      <c r="F77" s="18" t="s">
        <v>521</v>
      </c>
      <c r="G77" s="26" t="s">
        <v>671</v>
      </c>
      <c r="H77" s="18" t="s">
        <v>514</v>
      </c>
      <c r="I77" s="17">
        <v>33</v>
      </c>
      <c r="J77" s="18"/>
      <c r="K77" s="27">
        <v>126</v>
      </c>
      <c r="L77" s="63">
        <v>5505000</v>
      </c>
      <c r="M77" s="89"/>
      <c r="N77" s="84" t="e">
        <f t="shared" si="1"/>
        <v>#VALUE!</v>
      </c>
      <c r="O77" s="65"/>
      <c r="P77" s="65"/>
      <c r="Q77" s="65"/>
      <c r="R77" s="89"/>
      <c r="S77" s="89"/>
    </row>
    <row r="78" spans="1:19" ht="31.5" x14ac:dyDescent="0.25">
      <c r="A78" s="62" t="s">
        <v>109</v>
      </c>
      <c r="B78" s="6">
        <v>153929</v>
      </c>
      <c r="C78" s="1" t="s">
        <v>123</v>
      </c>
      <c r="D78" s="17" t="s">
        <v>124</v>
      </c>
      <c r="E78" s="17"/>
      <c r="F78" s="18" t="s">
        <v>521</v>
      </c>
      <c r="G78" s="26" t="s">
        <v>642</v>
      </c>
      <c r="H78" s="18" t="s">
        <v>514</v>
      </c>
      <c r="I78" s="17">
        <v>31</v>
      </c>
      <c r="J78" s="18" t="s">
        <v>3</v>
      </c>
      <c r="K78" s="27">
        <v>86.77</v>
      </c>
      <c r="L78" s="63">
        <v>4016000</v>
      </c>
      <c r="M78" s="89"/>
      <c r="N78" s="84" t="e">
        <f t="shared" si="1"/>
        <v>#VALUE!</v>
      </c>
      <c r="O78" s="65"/>
      <c r="P78" s="65"/>
      <c r="Q78" s="65"/>
      <c r="R78" s="89"/>
      <c r="S78" s="89"/>
    </row>
    <row r="79" spans="1:19" ht="47.25" x14ac:dyDescent="0.25">
      <c r="A79" s="62" t="s">
        <v>833</v>
      </c>
      <c r="B79" s="28">
        <v>153966</v>
      </c>
      <c r="C79" s="77" t="s">
        <v>369</v>
      </c>
      <c r="D79" s="42" t="s">
        <v>372</v>
      </c>
      <c r="E79" s="42"/>
      <c r="F79" s="39" t="s">
        <v>524</v>
      </c>
      <c r="G79" s="26" t="s">
        <v>638</v>
      </c>
      <c r="H79" s="53" t="s">
        <v>514</v>
      </c>
      <c r="I79" s="65"/>
      <c r="J79" s="66"/>
      <c r="K79" s="43">
        <v>139</v>
      </c>
      <c r="L79" s="67">
        <v>3195000</v>
      </c>
      <c r="M79" s="89"/>
      <c r="N79" s="84" t="e">
        <f t="shared" si="1"/>
        <v>#VALUE!</v>
      </c>
      <c r="O79" s="65"/>
      <c r="P79" s="65"/>
      <c r="Q79" s="65"/>
      <c r="R79" s="89"/>
      <c r="S79" s="89"/>
    </row>
    <row r="80" spans="1:19" ht="47.25" x14ac:dyDescent="0.25">
      <c r="A80" s="62" t="s">
        <v>834</v>
      </c>
      <c r="B80" s="28">
        <v>153966</v>
      </c>
      <c r="C80" s="77" t="s">
        <v>369</v>
      </c>
      <c r="D80" s="42" t="s">
        <v>371</v>
      </c>
      <c r="E80" s="42"/>
      <c r="F80" s="39" t="s">
        <v>524</v>
      </c>
      <c r="G80" s="26" t="s">
        <v>639</v>
      </c>
      <c r="H80" s="53" t="s">
        <v>514</v>
      </c>
      <c r="I80" s="65"/>
      <c r="J80" s="66"/>
      <c r="K80" s="43">
        <v>139</v>
      </c>
      <c r="L80" s="67">
        <v>2723000</v>
      </c>
      <c r="M80" s="89"/>
      <c r="N80" s="84" t="e">
        <f t="shared" si="1"/>
        <v>#VALUE!</v>
      </c>
      <c r="O80" s="65"/>
      <c r="P80" s="65"/>
      <c r="Q80" s="65"/>
      <c r="R80" s="89"/>
      <c r="S80" s="89"/>
    </row>
    <row r="81" spans="1:19" ht="47.25" x14ac:dyDescent="0.25">
      <c r="A81" s="62" t="s">
        <v>835</v>
      </c>
      <c r="B81" s="28">
        <v>153966</v>
      </c>
      <c r="C81" s="77" t="s">
        <v>369</v>
      </c>
      <c r="D81" s="42" t="s">
        <v>370</v>
      </c>
      <c r="E81" s="42"/>
      <c r="F81" s="39" t="s">
        <v>524</v>
      </c>
      <c r="G81" s="26" t="s">
        <v>640</v>
      </c>
      <c r="H81" s="53" t="s">
        <v>514</v>
      </c>
      <c r="I81" s="65"/>
      <c r="J81" s="66"/>
      <c r="K81" s="43">
        <v>139</v>
      </c>
      <c r="L81" s="67">
        <v>2857000</v>
      </c>
      <c r="M81" s="89"/>
      <c r="N81" s="84" t="e">
        <f t="shared" si="1"/>
        <v>#VALUE!</v>
      </c>
      <c r="O81" s="65"/>
      <c r="P81" s="65"/>
      <c r="Q81" s="65"/>
      <c r="R81" s="89"/>
      <c r="S81" s="89"/>
    </row>
    <row r="82" spans="1:19" ht="47.25" x14ac:dyDescent="0.25">
      <c r="A82" s="62" t="s">
        <v>112</v>
      </c>
      <c r="B82" s="6">
        <v>154014</v>
      </c>
      <c r="C82" s="1" t="s">
        <v>494</v>
      </c>
      <c r="D82" s="17" t="s">
        <v>126</v>
      </c>
      <c r="E82" s="17"/>
      <c r="F82" s="18" t="s">
        <v>521</v>
      </c>
      <c r="G82" s="26" t="s">
        <v>641</v>
      </c>
      <c r="H82" s="18" t="s">
        <v>514</v>
      </c>
      <c r="I82" s="17">
        <v>4</v>
      </c>
      <c r="J82" s="18" t="s">
        <v>3</v>
      </c>
      <c r="K82" s="27">
        <v>231</v>
      </c>
      <c r="L82" s="63">
        <v>12765000</v>
      </c>
      <c r="M82" s="89"/>
      <c r="N82" s="84" t="e">
        <f t="shared" si="1"/>
        <v>#VALUE!</v>
      </c>
      <c r="O82" s="65"/>
      <c r="P82" s="65"/>
      <c r="Q82" s="65"/>
      <c r="R82" s="89"/>
      <c r="S82" s="89"/>
    </row>
    <row r="83" spans="1:19" ht="47.25" x14ac:dyDescent="0.25">
      <c r="A83" s="62" t="s">
        <v>836</v>
      </c>
      <c r="B83" s="28">
        <v>154112</v>
      </c>
      <c r="C83" s="76" t="s">
        <v>373</v>
      </c>
      <c r="D83" s="44" t="s">
        <v>459</v>
      </c>
      <c r="E83" s="44"/>
      <c r="F83" s="39" t="s">
        <v>649</v>
      </c>
      <c r="G83" s="26" t="s">
        <v>676</v>
      </c>
      <c r="H83" s="54" t="s">
        <v>513</v>
      </c>
      <c r="I83" s="65"/>
      <c r="J83" s="66"/>
      <c r="K83" s="45">
        <v>7757</v>
      </c>
      <c r="L83" s="67">
        <v>8210000</v>
      </c>
      <c r="M83" s="89"/>
      <c r="N83" s="84" t="e">
        <f t="shared" si="1"/>
        <v>#VALUE!</v>
      </c>
      <c r="O83" s="65"/>
      <c r="P83" s="65"/>
      <c r="Q83" s="65"/>
      <c r="R83" s="89"/>
      <c r="S83" s="89"/>
    </row>
    <row r="84" spans="1:19" ht="47.25" x14ac:dyDescent="0.25">
      <c r="A84" s="62" t="s">
        <v>837</v>
      </c>
      <c r="B84" s="28">
        <v>154112</v>
      </c>
      <c r="C84" s="76" t="s">
        <v>373</v>
      </c>
      <c r="D84" s="44" t="s">
        <v>460</v>
      </c>
      <c r="E84" s="44"/>
      <c r="F84" s="39" t="s">
        <v>649</v>
      </c>
      <c r="G84" s="26" t="s">
        <v>676</v>
      </c>
      <c r="H84" s="54" t="s">
        <v>513</v>
      </c>
      <c r="I84" s="65"/>
      <c r="J84" s="66"/>
      <c r="K84" s="45">
        <v>6497</v>
      </c>
      <c r="L84" s="67">
        <v>1360000</v>
      </c>
      <c r="M84" s="89"/>
      <c r="N84" s="84" t="e">
        <f t="shared" si="1"/>
        <v>#VALUE!</v>
      </c>
      <c r="O84" s="65"/>
      <c r="P84" s="65"/>
      <c r="Q84" s="65"/>
      <c r="R84" s="89"/>
      <c r="S84" s="89"/>
    </row>
    <row r="85" spans="1:19" ht="47.25" x14ac:dyDescent="0.25">
      <c r="A85" s="62" t="s">
        <v>114</v>
      </c>
      <c r="B85" s="6">
        <v>154525</v>
      </c>
      <c r="C85" s="1" t="s">
        <v>128</v>
      </c>
      <c r="D85" s="17" t="s">
        <v>502</v>
      </c>
      <c r="E85" s="17"/>
      <c r="F85" s="18" t="s">
        <v>521</v>
      </c>
      <c r="G85" s="26" t="s">
        <v>672</v>
      </c>
      <c r="H85" s="18" t="s">
        <v>514</v>
      </c>
      <c r="I85" s="17">
        <v>29</v>
      </c>
      <c r="J85" s="18" t="s">
        <v>3</v>
      </c>
      <c r="K85" s="27">
        <v>163.47999999999999</v>
      </c>
      <c r="L85" s="63">
        <v>6311000</v>
      </c>
      <c r="M85" s="89"/>
      <c r="N85" s="84" t="e">
        <f t="shared" si="1"/>
        <v>#VALUE!</v>
      </c>
      <c r="O85" s="65"/>
      <c r="P85" s="65"/>
      <c r="Q85" s="65"/>
      <c r="R85" s="89"/>
      <c r="S85" s="89"/>
    </row>
    <row r="86" spans="1:19" ht="78.75" x14ac:dyDescent="0.25">
      <c r="A86" s="62" t="s">
        <v>838</v>
      </c>
      <c r="B86" s="41">
        <v>154525</v>
      </c>
      <c r="C86" s="76" t="s">
        <v>374</v>
      </c>
      <c r="D86" s="44" t="s">
        <v>375</v>
      </c>
      <c r="E86" s="44"/>
      <c r="F86" s="39" t="s">
        <v>623</v>
      </c>
      <c r="G86" s="26" t="s">
        <v>643</v>
      </c>
      <c r="H86" s="54" t="s">
        <v>532</v>
      </c>
      <c r="I86" s="65"/>
      <c r="J86" s="66"/>
      <c r="K86" s="45">
        <v>300</v>
      </c>
      <c r="L86" s="67">
        <v>15720000</v>
      </c>
      <c r="M86" s="89"/>
      <c r="N86" s="84" t="e">
        <f t="shared" si="1"/>
        <v>#VALUE!</v>
      </c>
      <c r="O86" s="65"/>
      <c r="P86" s="65"/>
      <c r="Q86" s="65"/>
      <c r="R86" s="89"/>
      <c r="S86" s="89"/>
    </row>
    <row r="87" spans="1:19" ht="47.25" x14ac:dyDescent="0.25">
      <c r="A87" s="62" t="s">
        <v>117</v>
      </c>
      <c r="B87" s="6">
        <v>154900</v>
      </c>
      <c r="C87" s="1" t="s">
        <v>130</v>
      </c>
      <c r="D87" s="17" t="s">
        <v>131</v>
      </c>
      <c r="E87" s="17"/>
      <c r="F87" s="18" t="s">
        <v>521</v>
      </c>
      <c r="G87" s="26" t="s">
        <v>634</v>
      </c>
      <c r="H87" s="18" t="s">
        <v>514</v>
      </c>
      <c r="I87" s="17">
        <v>15</v>
      </c>
      <c r="J87" s="18"/>
      <c r="K87" s="27">
        <v>134</v>
      </c>
      <c r="L87" s="63">
        <v>8000000</v>
      </c>
      <c r="M87" s="89"/>
      <c r="N87" s="84" t="e">
        <f t="shared" si="1"/>
        <v>#VALUE!</v>
      </c>
      <c r="O87" s="65"/>
      <c r="P87" s="65"/>
      <c r="Q87" s="65"/>
      <c r="R87" s="89"/>
      <c r="S87" s="89"/>
    </row>
    <row r="88" spans="1:19" ht="94.5" x14ac:dyDescent="0.25">
      <c r="A88" s="62" t="s">
        <v>839</v>
      </c>
      <c r="B88" s="28">
        <v>154981</v>
      </c>
      <c r="C88" s="77" t="s">
        <v>376</v>
      </c>
      <c r="D88" s="26" t="s">
        <v>461</v>
      </c>
      <c r="E88" s="26"/>
      <c r="F88" s="26" t="s">
        <v>650</v>
      </c>
      <c r="G88" s="26" t="s">
        <v>766</v>
      </c>
      <c r="H88" s="53" t="s">
        <v>514</v>
      </c>
      <c r="I88" s="65"/>
      <c r="J88" s="66"/>
      <c r="K88" s="43">
        <v>108</v>
      </c>
      <c r="L88" s="67">
        <v>1270000</v>
      </c>
      <c r="M88" s="89"/>
      <c r="N88" s="84" t="e">
        <f t="shared" si="1"/>
        <v>#VALUE!</v>
      </c>
      <c r="O88" s="65"/>
      <c r="P88" s="65"/>
      <c r="Q88" s="65"/>
      <c r="R88" s="89"/>
      <c r="S88" s="89"/>
    </row>
    <row r="89" spans="1:19" ht="78.75" x14ac:dyDescent="0.25">
      <c r="A89" s="62" t="s">
        <v>840</v>
      </c>
      <c r="B89" s="28">
        <v>154981</v>
      </c>
      <c r="C89" s="77" t="s">
        <v>376</v>
      </c>
      <c r="D89" s="26" t="s">
        <v>462</v>
      </c>
      <c r="E89" s="26"/>
      <c r="F89" s="26" t="s">
        <v>650</v>
      </c>
      <c r="G89" s="26" t="s">
        <v>767</v>
      </c>
      <c r="H89" s="53" t="s">
        <v>514</v>
      </c>
      <c r="I89" s="65"/>
      <c r="J89" s="66"/>
      <c r="K89" s="43">
        <v>108</v>
      </c>
      <c r="L89" s="67">
        <v>1210000</v>
      </c>
      <c r="M89" s="89"/>
      <c r="N89" s="84" t="e">
        <f t="shared" si="1"/>
        <v>#VALUE!</v>
      </c>
      <c r="O89" s="65"/>
      <c r="P89" s="65"/>
      <c r="Q89" s="65"/>
      <c r="R89" s="89"/>
      <c r="S89" s="89"/>
    </row>
    <row r="90" spans="1:19" ht="78.75" x14ac:dyDescent="0.25">
      <c r="A90" s="62" t="s">
        <v>841</v>
      </c>
      <c r="B90" s="28">
        <v>154981</v>
      </c>
      <c r="C90" s="77" t="s">
        <v>376</v>
      </c>
      <c r="D90" s="26" t="s">
        <v>463</v>
      </c>
      <c r="E90" s="26"/>
      <c r="F90" s="26" t="s">
        <v>650</v>
      </c>
      <c r="G90" s="26" t="s">
        <v>768</v>
      </c>
      <c r="H90" s="53" t="s">
        <v>514</v>
      </c>
      <c r="I90" s="65"/>
      <c r="J90" s="66"/>
      <c r="K90" s="43">
        <v>108</v>
      </c>
      <c r="L90" s="67">
        <v>1210000</v>
      </c>
      <c r="M90" s="89"/>
      <c r="N90" s="84" t="e">
        <f t="shared" si="1"/>
        <v>#VALUE!</v>
      </c>
      <c r="O90" s="65"/>
      <c r="P90" s="65"/>
      <c r="Q90" s="65"/>
      <c r="R90" s="89"/>
      <c r="S90" s="89"/>
    </row>
    <row r="91" spans="1:19" ht="78.75" x14ac:dyDescent="0.25">
      <c r="A91" s="62" t="s">
        <v>842</v>
      </c>
      <c r="B91" s="28">
        <v>154981</v>
      </c>
      <c r="C91" s="77" t="s">
        <v>376</v>
      </c>
      <c r="D91" s="26" t="s">
        <v>464</v>
      </c>
      <c r="E91" s="26"/>
      <c r="F91" s="26" t="s">
        <v>650</v>
      </c>
      <c r="G91" s="26" t="s">
        <v>769</v>
      </c>
      <c r="H91" s="53" t="s">
        <v>514</v>
      </c>
      <c r="I91" s="65"/>
      <c r="J91" s="66"/>
      <c r="K91" s="43">
        <v>108</v>
      </c>
      <c r="L91" s="67">
        <v>1150000</v>
      </c>
      <c r="M91" s="89"/>
      <c r="N91" s="84" t="e">
        <f t="shared" si="1"/>
        <v>#VALUE!</v>
      </c>
      <c r="O91" s="65"/>
      <c r="P91" s="65"/>
      <c r="Q91" s="65"/>
      <c r="R91" s="89"/>
      <c r="S91" s="89"/>
    </row>
    <row r="92" spans="1:19" ht="78.75" x14ac:dyDescent="0.25">
      <c r="A92" s="62" t="s">
        <v>843</v>
      </c>
      <c r="B92" s="28">
        <v>154981</v>
      </c>
      <c r="C92" s="77" t="s">
        <v>376</v>
      </c>
      <c r="D92" s="26" t="s">
        <v>465</v>
      </c>
      <c r="E92" s="26"/>
      <c r="F92" s="26" t="s">
        <v>650</v>
      </c>
      <c r="G92" s="26" t="s">
        <v>770</v>
      </c>
      <c r="H92" s="53" t="s">
        <v>514</v>
      </c>
      <c r="I92" s="65"/>
      <c r="J92" s="66"/>
      <c r="K92" s="43">
        <v>108</v>
      </c>
      <c r="L92" s="67">
        <v>1130000</v>
      </c>
      <c r="M92" s="89"/>
      <c r="N92" s="84" t="e">
        <f t="shared" si="1"/>
        <v>#VALUE!</v>
      </c>
      <c r="O92" s="65"/>
      <c r="P92" s="65"/>
      <c r="Q92" s="65"/>
      <c r="R92" s="89"/>
      <c r="S92" s="89"/>
    </row>
    <row r="93" spans="1:19" ht="94.5" x14ac:dyDescent="0.25">
      <c r="A93" s="62" t="s">
        <v>844</v>
      </c>
      <c r="B93" s="28">
        <v>154981</v>
      </c>
      <c r="C93" s="77" t="s">
        <v>376</v>
      </c>
      <c r="D93" s="26" t="s">
        <v>466</v>
      </c>
      <c r="E93" s="26"/>
      <c r="F93" s="26" t="s">
        <v>650</v>
      </c>
      <c r="G93" s="26" t="s">
        <v>771</v>
      </c>
      <c r="H93" s="53" t="s">
        <v>514</v>
      </c>
      <c r="I93" s="65"/>
      <c r="J93" s="66"/>
      <c r="K93" s="43">
        <v>108</v>
      </c>
      <c r="L93" s="67">
        <v>1130000</v>
      </c>
      <c r="M93" s="89"/>
      <c r="N93" s="84" t="e">
        <f t="shared" si="1"/>
        <v>#VALUE!</v>
      </c>
      <c r="O93" s="65"/>
      <c r="P93" s="65"/>
      <c r="Q93" s="65"/>
      <c r="R93" s="89"/>
      <c r="S93" s="89"/>
    </row>
    <row r="94" spans="1:19" ht="94.5" x14ac:dyDescent="0.25">
      <c r="A94" s="62" t="s">
        <v>845</v>
      </c>
      <c r="B94" s="28">
        <v>154981</v>
      </c>
      <c r="C94" s="77" t="s">
        <v>376</v>
      </c>
      <c r="D94" s="26" t="s">
        <v>467</v>
      </c>
      <c r="E94" s="26"/>
      <c r="F94" s="26" t="s">
        <v>650</v>
      </c>
      <c r="G94" s="26" t="s">
        <v>772</v>
      </c>
      <c r="H94" s="53" t="s">
        <v>514</v>
      </c>
      <c r="I94" s="65"/>
      <c r="J94" s="66"/>
      <c r="K94" s="43">
        <v>108</v>
      </c>
      <c r="L94" s="67">
        <v>1200000</v>
      </c>
      <c r="M94" s="89"/>
      <c r="N94" s="84" t="e">
        <f t="shared" si="1"/>
        <v>#VALUE!</v>
      </c>
      <c r="O94" s="65"/>
      <c r="P94" s="65"/>
      <c r="Q94" s="65"/>
      <c r="R94" s="89"/>
      <c r="S94" s="89"/>
    </row>
    <row r="95" spans="1:19" ht="94.5" x14ac:dyDescent="0.25">
      <c r="A95" s="62" t="s">
        <v>846</v>
      </c>
      <c r="B95" s="28">
        <v>154981</v>
      </c>
      <c r="C95" s="77" t="s">
        <v>376</v>
      </c>
      <c r="D95" s="26" t="s">
        <v>468</v>
      </c>
      <c r="E95" s="26"/>
      <c r="F95" s="26" t="s">
        <v>650</v>
      </c>
      <c r="G95" s="26" t="s">
        <v>773</v>
      </c>
      <c r="H95" s="53" t="s">
        <v>514</v>
      </c>
      <c r="I95" s="65"/>
      <c r="J95" s="66"/>
      <c r="K95" s="43">
        <v>108</v>
      </c>
      <c r="L95" s="67">
        <v>1130000</v>
      </c>
      <c r="M95" s="89"/>
      <c r="N95" s="84" t="e">
        <f t="shared" si="1"/>
        <v>#VALUE!</v>
      </c>
      <c r="O95" s="65"/>
      <c r="P95" s="65"/>
      <c r="Q95" s="65"/>
      <c r="R95" s="89"/>
      <c r="S95" s="89"/>
    </row>
    <row r="96" spans="1:19" ht="94.5" x14ac:dyDescent="0.25">
      <c r="A96" s="62" t="s">
        <v>847</v>
      </c>
      <c r="B96" s="28">
        <v>154981</v>
      </c>
      <c r="C96" s="77" t="s">
        <v>376</v>
      </c>
      <c r="D96" s="26" t="s">
        <v>469</v>
      </c>
      <c r="E96" s="26"/>
      <c r="F96" s="26" t="s">
        <v>650</v>
      </c>
      <c r="G96" s="26" t="s">
        <v>774</v>
      </c>
      <c r="H96" s="53" t="s">
        <v>514</v>
      </c>
      <c r="I96" s="65"/>
      <c r="J96" s="66"/>
      <c r="K96" s="43">
        <v>108</v>
      </c>
      <c r="L96" s="67">
        <v>1210000</v>
      </c>
      <c r="M96" s="89"/>
      <c r="N96" s="84" t="e">
        <f t="shared" si="1"/>
        <v>#VALUE!</v>
      </c>
      <c r="O96" s="65"/>
      <c r="P96" s="65"/>
      <c r="Q96" s="65"/>
      <c r="R96" s="89"/>
      <c r="S96" s="89"/>
    </row>
    <row r="97" spans="1:19" ht="94.5" x14ac:dyDescent="0.25">
      <c r="A97" s="62" t="s">
        <v>848</v>
      </c>
      <c r="B97" s="28">
        <v>154981</v>
      </c>
      <c r="C97" s="77" t="s">
        <v>376</v>
      </c>
      <c r="D97" s="26" t="s">
        <v>470</v>
      </c>
      <c r="E97" s="26"/>
      <c r="F97" s="26" t="s">
        <v>650</v>
      </c>
      <c r="G97" s="26" t="s">
        <v>775</v>
      </c>
      <c r="H97" s="53" t="s">
        <v>514</v>
      </c>
      <c r="I97" s="65"/>
      <c r="J97" s="66"/>
      <c r="K97" s="43">
        <v>108</v>
      </c>
      <c r="L97" s="67">
        <v>1270000</v>
      </c>
      <c r="M97" s="89"/>
      <c r="N97" s="84" t="e">
        <f t="shared" si="1"/>
        <v>#VALUE!</v>
      </c>
      <c r="O97" s="65"/>
      <c r="P97" s="65"/>
      <c r="Q97" s="65"/>
      <c r="R97" s="89"/>
      <c r="S97" s="89"/>
    </row>
    <row r="98" spans="1:19" ht="78.75" x14ac:dyDescent="0.25">
      <c r="A98" s="62" t="s">
        <v>849</v>
      </c>
      <c r="B98" s="28">
        <v>154981</v>
      </c>
      <c r="C98" s="77" t="s">
        <v>376</v>
      </c>
      <c r="D98" s="26" t="s">
        <v>471</v>
      </c>
      <c r="E98" s="26"/>
      <c r="F98" s="26" t="s">
        <v>650</v>
      </c>
      <c r="G98" s="26" t="s">
        <v>776</v>
      </c>
      <c r="H98" s="53" t="s">
        <v>514</v>
      </c>
      <c r="I98" s="65"/>
      <c r="J98" s="66"/>
      <c r="K98" s="43">
        <v>108</v>
      </c>
      <c r="L98" s="67">
        <v>1220000</v>
      </c>
      <c r="M98" s="89"/>
      <c r="N98" s="84" t="e">
        <f t="shared" si="1"/>
        <v>#VALUE!</v>
      </c>
      <c r="O98" s="65"/>
      <c r="P98" s="65"/>
      <c r="Q98" s="65"/>
      <c r="R98" s="89"/>
      <c r="S98" s="89"/>
    </row>
    <row r="99" spans="1:19" ht="78.75" x14ac:dyDescent="0.25">
      <c r="A99" s="62" t="s">
        <v>850</v>
      </c>
      <c r="B99" s="28">
        <v>154981</v>
      </c>
      <c r="C99" s="77" t="s">
        <v>376</v>
      </c>
      <c r="D99" s="26" t="s">
        <v>472</v>
      </c>
      <c r="E99" s="26"/>
      <c r="F99" s="26" t="s">
        <v>650</v>
      </c>
      <c r="G99" s="26" t="s">
        <v>777</v>
      </c>
      <c r="H99" s="53" t="s">
        <v>514</v>
      </c>
      <c r="I99" s="65"/>
      <c r="J99" s="66"/>
      <c r="K99" s="43">
        <v>108</v>
      </c>
      <c r="L99" s="67">
        <v>1150000</v>
      </c>
      <c r="M99" s="89"/>
      <c r="N99" s="84" t="e">
        <f t="shared" si="1"/>
        <v>#VALUE!</v>
      </c>
      <c r="O99" s="65"/>
      <c r="P99" s="65"/>
      <c r="Q99" s="65"/>
      <c r="R99" s="89"/>
      <c r="S99" s="89"/>
    </row>
    <row r="100" spans="1:19" ht="94.5" x14ac:dyDescent="0.25">
      <c r="A100" s="62" t="s">
        <v>851</v>
      </c>
      <c r="B100" s="28">
        <v>154981</v>
      </c>
      <c r="C100" s="77" t="s">
        <v>376</v>
      </c>
      <c r="D100" s="26" t="s">
        <v>473</v>
      </c>
      <c r="E100" s="26"/>
      <c r="F100" s="26" t="s">
        <v>650</v>
      </c>
      <c r="G100" s="26" t="s">
        <v>778</v>
      </c>
      <c r="H100" s="53" t="s">
        <v>514</v>
      </c>
      <c r="I100" s="65"/>
      <c r="J100" s="66"/>
      <c r="K100" s="43">
        <v>108</v>
      </c>
      <c r="L100" s="67">
        <v>1180000</v>
      </c>
      <c r="M100" s="89"/>
      <c r="N100" s="84" t="e">
        <f t="shared" si="1"/>
        <v>#VALUE!</v>
      </c>
      <c r="O100" s="65"/>
      <c r="P100" s="65"/>
      <c r="Q100" s="65"/>
      <c r="R100" s="89"/>
      <c r="S100" s="89"/>
    </row>
    <row r="101" spans="1:19" ht="85.5" x14ac:dyDescent="0.25">
      <c r="A101" s="62" t="s">
        <v>852</v>
      </c>
      <c r="B101" s="28">
        <v>154981</v>
      </c>
      <c r="C101" s="77" t="s">
        <v>376</v>
      </c>
      <c r="D101" s="26" t="s">
        <v>474</v>
      </c>
      <c r="E101" s="26"/>
      <c r="F101" s="26" t="s">
        <v>650</v>
      </c>
      <c r="G101" s="60" t="s">
        <v>779</v>
      </c>
      <c r="H101" s="53" t="s">
        <v>514</v>
      </c>
      <c r="I101" s="65"/>
      <c r="J101" s="66"/>
      <c r="K101" s="43">
        <v>108</v>
      </c>
      <c r="L101" s="67">
        <v>1180000</v>
      </c>
      <c r="M101" s="89"/>
      <c r="N101" s="84" t="e">
        <f t="shared" si="1"/>
        <v>#VALUE!</v>
      </c>
      <c r="O101" s="65"/>
      <c r="P101" s="65"/>
      <c r="Q101" s="65"/>
      <c r="R101" s="89"/>
      <c r="S101" s="89"/>
    </row>
    <row r="102" spans="1:19" ht="94.5" x14ac:dyDescent="0.25">
      <c r="A102" s="62" t="s">
        <v>853</v>
      </c>
      <c r="B102" s="28">
        <v>154981</v>
      </c>
      <c r="C102" s="77" t="s">
        <v>376</v>
      </c>
      <c r="D102" s="26" t="s">
        <v>475</v>
      </c>
      <c r="E102" s="26"/>
      <c r="F102" s="26" t="s">
        <v>650</v>
      </c>
      <c r="G102" s="26" t="s">
        <v>780</v>
      </c>
      <c r="H102" s="53" t="s">
        <v>514</v>
      </c>
      <c r="I102" s="65"/>
      <c r="J102" s="66"/>
      <c r="K102" s="43">
        <v>108</v>
      </c>
      <c r="L102" s="67">
        <v>1150000</v>
      </c>
      <c r="M102" s="89"/>
      <c r="N102" s="84" t="e">
        <f t="shared" si="1"/>
        <v>#VALUE!</v>
      </c>
      <c r="O102" s="65"/>
      <c r="P102" s="65"/>
      <c r="Q102" s="65"/>
      <c r="R102" s="89"/>
      <c r="S102" s="89"/>
    </row>
    <row r="103" spans="1:19" ht="71.25" x14ac:dyDescent="0.25">
      <c r="A103" s="62" t="s">
        <v>854</v>
      </c>
      <c r="B103" s="28">
        <v>154981</v>
      </c>
      <c r="C103" s="77" t="s">
        <v>376</v>
      </c>
      <c r="D103" s="26" t="s">
        <v>476</v>
      </c>
      <c r="E103" s="26"/>
      <c r="F103" s="26" t="s">
        <v>650</v>
      </c>
      <c r="G103" s="60" t="s">
        <v>781</v>
      </c>
      <c r="H103" s="53" t="s">
        <v>514</v>
      </c>
      <c r="I103" s="65"/>
      <c r="J103" s="66"/>
      <c r="K103" s="43">
        <v>108</v>
      </c>
      <c r="L103" s="67">
        <v>1130000</v>
      </c>
      <c r="M103" s="89"/>
      <c r="N103" s="84" t="e">
        <f t="shared" si="1"/>
        <v>#VALUE!</v>
      </c>
      <c r="O103" s="65"/>
      <c r="P103" s="65"/>
      <c r="Q103" s="65"/>
      <c r="R103" s="89"/>
      <c r="S103" s="89"/>
    </row>
    <row r="104" spans="1:19" ht="94.5" x14ac:dyDescent="0.25">
      <c r="A104" s="62" t="s">
        <v>855</v>
      </c>
      <c r="B104" s="28">
        <v>154981</v>
      </c>
      <c r="C104" s="77" t="s">
        <v>376</v>
      </c>
      <c r="D104" s="26" t="s">
        <v>477</v>
      </c>
      <c r="E104" s="26"/>
      <c r="F104" s="26" t="s">
        <v>650</v>
      </c>
      <c r="G104" s="26" t="s">
        <v>782</v>
      </c>
      <c r="H104" s="53" t="s">
        <v>514</v>
      </c>
      <c r="I104" s="65"/>
      <c r="J104" s="66"/>
      <c r="K104" s="43">
        <v>108</v>
      </c>
      <c r="L104" s="67">
        <v>1130000</v>
      </c>
      <c r="M104" s="89"/>
      <c r="N104" s="84" t="e">
        <f t="shared" si="1"/>
        <v>#VALUE!</v>
      </c>
      <c r="O104" s="65"/>
      <c r="P104" s="65"/>
      <c r="Q104" s="65"/>
      <c r="R104" s="89"/>
      <c r="S104" s="89"/>
    </row>
    <row r="105" spans="1:19" ht="71.25" x14ac:dyDescent="0.25">
      <c r="A105" s="62" t="s">
        <v>856</v>
      </c>
      <c r="B105" s="28">
        <v>154981</v>
      </c>
      <c r="C105" s="77" t="s">
        <v>376</v>
      </c>
      <c r="D105" s="26" t="s">
        <v>478</v>
      </c>
      <c r="E105" s="26"/>
      <c r="F105" s="26" t="s">
        <v>650</v>
      </c>
      <c r="G105" s="60" t="s">
        <v>783</v>
      </c>
      <c r="H105" s="53" t="s">
        <v>514</v>
      </c>
      <c r="I105" s="65"/>
      <c r="J105" s="66"/>
      <c r="K105" s="43">
        <v>108</v>
      </c>
      <c r="L105" s="67">
        <v>1130000</v>
      </c>
      <c r="M105" s="89"/>
      <c r="N105" s="84" t="e">
        <f t="shared" si="1"/>
        <v>#VALUE!</v>
      </c>
      <c r="O105" s="65"/>
      <c r="P105" s="65"/>
      <c r="Q105" s="65"/>
      <c r="R105" s="89"/>
      <c r="S105" s="89"/>
    </row>
    <row r="106" spans="1:19" ht="78.75" x14ac:dyDescent="0.25">
      <c r="A106" s="62" t="s">
        <v>857</v>
      </c>
      <c r="B106" s="28">
        <v>154981</v>
      </c>
      <c r="C106" s="77" t="s">
        <v>376</v>
      </c>
      <c r="D106" s="26" t="s">
        <v>479</v>
      </c>
      <c r="E106" s="26"/>
      <c r="F106" s="26" t="s">
        <v>650</v>
      </c>
      <c r="G106" s="26" t="s">
        <v>784</v>
      </c>
      <c r="H106" s="53" t="s">
        <v>514</v>
      </c>
      <c r="I106" s="65"/>
      <c r="J106" s="66"/>
      <c r="K106" s="43">
        <v>108</v>
      </c>
      <c r="L106" s="67">
        <v>1150000</v>
      </c>
      <c r="M106" s="89"/>
      <c r="N106" s="84" t="e">
        <f t="shared" si="1"/>
        <v>#VALUE!</v>
      </c>
      <c r="O106" s="65"/>
      <c r="P106" s="65"/>
      <c r="Q106" s="65"/>
      <c r="R106" s="89"/>
      <c r="S106" s="89"/>
    </row>
    <row r="107" spans="1:19" ht="78.75" x14ac:dyDescent="0.25">
      <c r="A107" s="62" t="s">
        <v>858</v>
      </c>
      <c r="B107" s="28">
        <v>154981</v>
      </c>
      <c r="C107" s="77" t="s">
        <v>376</v>
      </c>
      <c r="D107" s="26" t="s">
        <v>480</v>
      </c>
      <c r="E107" s="26"/>
      <c r="F107" s="26" t="s">
        <v>650</v>
      </c>
      <c r="G107" s="26" t="s">
        <v>785</v>
      </c>
      <c r="H107" s="53" t="s">
        <v>514</v>
      </c>
      <c r="I107" s="65"/>
      <c r="J107" s="66"/>
      <c r="K107" s="43">
        <v>108</v>
      </c>
      <c r="L107" s="67">
        <v>1130000</v>
      </c>
      <c r="M107" s="89"/>
      <c r="N107" s="84" t="e">
        <f t="shared" si="1"/>
        <v>#VALUE!</v>
      </c>
      <c r="O107" s="65"/>
      <c r="P107" s="65"/>
      <c r="Q107" s="65"/>
      <c r="R107" s="89"/>
      <c r="S107" s="89"/>
    </row>
    <row r="108" spans="1:19" ht="85.5" x14ac:dyDescent="0.25">
      <c r="A108" s="62" t="s">
        <v>859</v>
      </c>
      <c r="B108" s="28">
        <v>154981</v>
      </c>
      <c r="C108" s="77" t="s">
        <v>376</v>
      </c>
      <c r="D108" s="26" t="s">
        <v>481</v>
      </c>
      <c r="E108" s="26"/>
      <c r="F108" s="26" t="s">
        <v>650</v>
      </c>
      <c r="G108" s="60" t="s">
        <v>786</v>
      </c>
      <c r="H108" s="53" t="s">
        <v>514</v>
      </c>
      <c r="I108" s="65"/>
      <c r="J108" s="66"/>
      <c r="K108" s="43">
        <v>108</v>
      </c>
      <c r="L108" s="67">
        <v>1180000</v>
      </c>
      <c r="M108" s="89"/>
      <c r="N108" s="84" t="e">
        <f t="shared" si="1"/>
        <v>#VALUE!</v>
      </c>
      <c r="O108" s="65"/>
      <c r="P108" s="65"/>
      <c r="Q108" s="65"/>
      <c r="R108" s="89"/>
      <c r="S108" s="89"/>
    </row>
    <row r="109" spans="1:19" ht="71.25" x14ac:dyDescent="0.25">
      <c r="A109" s="62" t="s">
        <v>860</v>
      </c>
      <c r="B109" s="28">
        <v>154981</v>
      </c>
      <c r="C109" s="77" t="s">
        <v>376</v>
      </c>
      <c r="D109" s="26" t="s">
        <v>482</v>
      </c>
      <c r="E109" s="26"/>
      <c r="F109" s="26" t="s">
        <v>650</v>
      </c>
      <c r="G109" s="60" t="s">
        <v>787</v>
      </c>
      <c r="H109" s="53" t="s">
        <v>514</v>
      </c>
      <c r="I109" s="65"/>
      <c r="J109" s="66"/>
      <c r="K109" s="43">
        <v>108</v>
      </c>
      <c r="L109" s="67">
        <v>1180000</v>
      </c>
      <c r="M109" s="89"/>
      <c r="N109" s="84" t="e">
        <f t="shared" si="1"/>
        <v>#VALUE!</v>
      </c>
      <c r="O109" s="65"/>
      <c r="P109" s="65"/>
      <c r="Q109" s="65"/>
      <c r="R109" s="89"/>
      <c r="S109" s="89"/>
    </row>
    <row r="110" spans="1:19" ht="78.75" x14ac:dyDescent="0.25">
      <c r="A110" s="62" t="s">
        <v>861</v>
      </c>
      <c r="B110" s="28">
        <v>154981</v>
      </c>
      <c r="C110" s="77" t="s">
        <v>376</v>
      </c>
      <c r="D110" s="26" t="s">
        <v>483</v>
      </c>
      <c r="E110" s="26"/>
      <c r="F110" s="26" t="s">
        <v>650</v>
      </c>
      <c r="G110" s="26" t="s">
        <v>788</v>
      </c>
      <c r="H110" s="53" t="s">
        <v>514</v>
      </c>
      <c r="I110" s="65"/>
      <c r="J110" s="66"/>
      <c r="K110" s="43">
        <v>108</v>
      </c>
      <c r="L110" s="67">
        <v>1180000</v>
      </c>
      <c r="M110" s="89"/>
      <c r="N110" s="84" t="e">
        <f t="shared" si="1"/>
        <v>#VALUE!</v>
      </c>
      <c r="O110" s="65"/>
      <c r="P110" s="65"/>
      <c r="Q110" s="65"/>
      <c r="R110" s="89"/>
      <c r="S110" s="89"/>
    </row>
    <row r="111" spans="1:19" ht="71.25" x14ac:dyDescent="0.25">
      <c r="A111" s="62" t="s">
        <v>862</v>
      </c>
      <c r="B111" s="28">
        <v>154981</v>
      </c>
      <c r="C111" s="77" t="s">
        <v>376</v>
      </c>
      <c r="D111" s="26" t="s">
        <v>484</v>
      </c>
      <c r="E111" s="26"/>
      <c r="F111" s="26" t="s">
        <v>650</v>
      </c>
      <c r="G111" s="60" t="s">
        <v>789</v>
      </c>
      <c r="H111" s="53" t="s">
        <v>514</v>
      </c>
      <c r="I111" s="65"/>
      <c r="J111" s="66"/>
      <c r="K111" s="43">
        <v>108</v>
      </c>
      <c r="L111" s="67">
        <v>1190000</v>
      </c>
      <c r="M111" s="89"/>
      <c r="N111" s="84" t="e">
        <f t="shared" si="1"/>
        <v>#VALUE!</v>
      </c>
      <c r="O111" s="65"/>
      <c r="P111" s="65"/>
      <c r="Q111" s="65"/>
      <c r="R111" s="89"/>
      <c r="S111" s="89"/>
    </row>
    <row r="112" spans="1:19" ht="47.25" x14ac:dyDescent="0.25">
      <c r="A112" s="62" t="s">
        <v>120</v>
      </c>
      <c r="B112" s="6">
        <v>154994</v>
      </c>
      <c r="C112" s="1" t="s">
        <v>133</v>
      </c>
      <c r="D112" s="17" t="s">
        <v>134</v>
      </c>
      <c r="E112" s="17"/>
      <c r="F112" s="18" t="s">
        <v>521</v>
      </c>
      <c r="G112" s="26" t="s">
        <v>673</v>
      </c>
      <c r="H112" s="18" t="s">
        <v>689</v>
      </c>
      <c r="I112" s="17">
        <v>10</v>
      </c>
      <c r="J112" s="18" t="s">
        <v>3</v>
      </c>
      <c r="K112" s="27">
        <v>1604</v>
      </c>
      <c r="L112" s="63">
        <v>75982000</v>
      </c>
      <c r="M112" s="89"/>
      <c r="N112" s="84" t="e">
        <f t="shared" si="1"/>
        <v>#VALUE!</v>
      </c>
      <c r="O112" s="65"/>
      <c r="P112" s="65"/>
      <c r="Q112" s="65"/>
      <c r="R112" s="89"/>
      <c r="S112" s="89"/>
    </row>
    <row r="113" spans="1:19" ht="47.25" x14ac:dyDescent="0.25">
      <c r="A113" s="62" t="s">
        <v>863</v>
      </c>
      <c r="B113" s="28">
        <v>157080</v>
      </c>
      <c r="C113" s="77" t="s">
        <v>488</v>
      </c>
      <c r="D113" s="28" t="s">
        <v>377</v>
      </c>
      <c r="E113" s="28"/>
      <c r="F113" s="26" t="s">
        <v>648</v>
      </c>
      <c r="G113" s="26" t="s">
        <v>790</v>
      </c>
      <c r="H113" s="53" t="s">
        <v>514</v>
      </c>
      <c r="I113" s="65"/>
      <c r="J113" s="66"/>
      <c r="K113" s="28">
        <v>96</v>
      </c>
      <c r="L113" s="67">
        <v>720000</v>
      </c>
      <c r="M113" s="89"/>
      <c r="N113" s="84" t="e">
        <f t="shared" si="1"/>
        <v>#VALUE!</v>
      </c>
      <c r="O113" s="65"/>
      <c r="P113" s="65"/>
      <c r="Q113" s="65"/>
      <c r="R113" s="89"/>
      <c r="S113" s="89"/>
    </row>
    <row r="114" spans="1:19" ht="47.25" x14ac:dyDescent="0.25">
      <c r="A114" s="62" t="s">
        <v>864</v>
      </c>
      <c r="B114" s="28">
        <v>157080</v>
      </c>
      <c r="C114" s="77" t="s">
        <v>488</v>
      </c>
      <c r="D114" s="28" t="s">
        <v>378</v>
      </c>
      <c r="E114" s="28"/>
      <c r="F114" s="26" t="s">
        <v>648</v>
      </c>
      <c r="G114" s="26" t="s">
        <v>791</v>
      </c>
      <c r="H114" s="53" t="s">
        <v>514</v>
      </c>
      <c r="I114" s="65"/>
      <c r="J114" s="66"/>
      <c r="K114" s="28">
        <v>70</v>
      </c>
      <c r="L114" s="67">
        <v>530000</v>
      </c>
      <c r="M114" s="89"/>
      <c r="N114" s="84" t="e">
        <f t="shared" si="1"/>
        <v>#VALUE!</v>
      </c>
      <c r="O114" s="65"/>
      <c r="P114" s="65"/>
      <c r="Q114" s="65"/>
      <c r="R114" s="89"/>
      <c r="S114" s="89"/>
    </row>
    <row r="115" spans="1:19" ht="47.25" x14ac:dyDescent="0.25">
      <c r="A115" s="62" t="s">
        <v>865</v>
      </c>
      <c r="B115" s="28">
        <v>157080</v>
      </c>
      <c r="C115" s="77" t="s">
        <v>488</v>
      </c>
      <c r="D115" s="28" t="s">
        <v>379</v>
      </c>
      <c r="E115" s="28"/>
      <c r="F115" s="26" t="s">
        <v>648</v>
      </c>
      <c r="G115" s="26" t="s">
        <v>792</v>
      </c>
      <c r="H115" s="53" t="s">
        <v>514</v>
      </c>
      <c r="I115" s="65"/>
      <c r="J115" s="66"/>
      <c r="K115" s="28">
        <v>95</v>
      </c>
      <c r="L115" s="67">
        <v>690000</v>
      </c>
      <c r="M115" s="89"/>
      <c r="N115" s="84" t="e">
        <f t="shared" si="1"/>
        <v>#VALUE!</v>
      </c>
      <c r="O115" s="65"/>
      <c r="P115" s="65"/>
      <c r="Q115" s="65"/>
      <c r="R115" s="89"/>
      <c r="S115" s="89"/>
    </row>
    <row r="116" spans="1:19" ht="47.25" x14ac:dyDescent="0.25">
      <c r="A116" s="62" t="s">
        <v>866</v>
      </c>
      <c r="B116" s="28">
        <v>157080</v>
      </c>
      <c r="C116" s="77" t="s">
        <v>488</v>
      </c>
      <c r="D116" s="28" t="s">
        <v>380</v>
      </c>
      <c r="E116" s="28"/>
      <c r="F116" s="26" t="s">
        <v>648</v>
      </c>
      <c r="G116" s="26" t="s">
        <v>793</v>
      </c>
      <c r="H116" s="53" t="s">
        <v>514</v>
      </c>
      <c r="I116" s="65"/>
      <c r="J116" s="66"/>
      <c r="K116" s="28">
        <v>96</v>
      </c>
      <c r="L116" s="67">
        <v>730000</v>
      </c>
      <c r="M116" s="89"/>
      <c r="N116" s="84" t="e">
        <f t="shared" si="1"/>
        <v>#VALUE!</v>
      </c>
      <c r="O116" s="65"/>
      <c r="P116" s="65"/>
      <c r="Q116" s="65"/>
      <c r="R116" s="89"/>
      <c r="S116" s="89"/>
    </row>
    <row r="117" spans="1:19" ht="47.25" x14ac:dyDescent="0.25">
      <c r="A117" s="62" t="s">
        <v>867</v>
      </c>
      <c r="B117" s="28">
        <v>157080</v>
      </c>
      <c r="C117" s="77" t="s">
        <v>488</v>
      </c>
      <c r="D117" s="28" t="s">
        <v>381</v>
      </c>
      <c r="E117" s="28"/>
      <c r="F117" s="26" t="s">
        <v>648</v>
      </c>
      <c r="G117" s="26" t="s">
        <v>794</v>
      </c>
      <c r="H117" s="53" t="s">
        <v>514</v>
      </c>
      <c r="I117" s="65"/>
      <c r="J117" s="66"/>
      <c r="K117" s="28">
        <v>70</v>
      </c>
      <c r="L117" s="67">
        <v>550000</v>
      </c>
      <c r="M117" s="89"/>
      <c r="N117" s="84" t="e">
        <f t="shared" si="1"/>
        <v>#VALUE!</v>
      </c>
      <c r="O117" s="65"/>
      <c r="P117" s="65"/>
      <c r="Q117" s="65"/>
      <c r="R117" s="89"/>
      <c r="S117" s="89"/>
    </row>
    <row r="118" spans="1:19" ht="47.25" x14ac:dyDescent="0.25">
      <c r="A118" s="62" t="s">
        <v>868</v>
      </c>
      <c r="B118" s="28">
        <v>157080</v>
      </c>
      <c r="C118" s="77" t="s">
        <v>488</v>
      </c>
      <c r="D118" s="28" t="s">
        <v>382</v>
      </c>
      <c r="E118" s="28"/>
      <c r="F118" s="26" t="s">
        <v>648</v>
      </c>
      <c r="G118" s="26" t="s">
        <v>795</v>
      </c>
      <c r="H118" s="53" t="s">
        <v>514</v>
      </c>
      <c r="I118" s="65"/>
      <c r="J118" s="66"/>
      <c r="K118" s="28">
        <v>95</v>
      </c>
      <c r="L118" s="67">
        <v>730000</v>
      </c>
      <c r="M118" s="89"/>
      <c r="N118" s="84" t="e">
        <f t="shared" si="1"/>
        <v>#VALUE!</v>
      </c>
      <c r="O118" s="65"/>
      <c r="P118" s="65"/>
      <c r="Q118" s="65"/>
      <c r="R118" s="89"/>
      <c r="S118" s="89"/>
    </row>
    <row r="119" spans="1:19" ht="47.25" x14ac:dyDescent="0.25">
      <c r="A119" s="62" t="s">
        <v>869</v>
      </c>
      <c r="B119" s="28">
        <v>157080</v>
      </c>
      <c r="C119" s="77" t="s">
        <v>488</v>
      </c>
      <c r="D119" s="28" t="s">
        <v>383</v>
      </c>
      <c r="E119" s="28"/>
      <c r="F119" s="26" t="s">
        <v>648</v>
      </c>
      <c r="G119" s="26" t="s">
        <v>796</v>
      </c>
      <c r="H119" s="53" t="s">
        <v>514</v>
      </c>
      <c r="I119" s="65"/>
      <c r="J119" s="66"/>
      <c r="K119" s="28">
        <v>96</v>
      </c>
      <c r="L119" s="67">
        <v>800000</v>
      </c>
      <c r="M119" s="89"/>
      <c r="N119" s="84" t="e">
        <f t="shared" si="1"/>
        <v>#VALUE!</v>
      </c>
      <c r="O119" s="65"/>
      <c r="P119" s="65"/>
      <c r="Q119" s="65"/>
      <c r="R119" s="89"/>
      <c r="S119" s="89"/>
    </row>
    <row r="120" spans="1:19" ht="47.25" x14ac:dyDescent="0.25">
      <c r="A120" s="62" t="s">
        <v>870</v>
      </c>
      <c r="B120" s="28">
        <v>157080</v>
      </c>
      <c r="C120" s="77" t="s">
        <v>488</v>
      </c>
      <c r="D120" s="28" t="s">
        <v>384</v>
      </c>
      <c r="E120" s="28"/>
      <c r="F120" s="26" t="s">
        <v>648</v>
      </c>
      <c r="G120" s="26" t="s">
        <v>797</v>
      </c>
      <c r="H120" s="53" t="s">
        <v>514</v>
      </c>
      <c r="I120" s="65"/>
      <c r="J120" s="66"/>
      <c r="K120" s="28">
        <v>70</v>
      </c>
      <c r="L120" s="67">
        <v>580000</v>
      </c>
      <c r="M120" s="89"/>
      <c r="N120" s="84" t="e">
        <f t="shared" si="1"/>
        <v>#VALUE!</v>
      </c>
      <c r="O120" s="65"/>
      <c r="P120" s="65"/>
      <c r="Q120" s="65"/>
      <c r="R120" s="89"/>
      <c r="S120" s="89"/>
    </row>
    <row r="121" spans="1:19" ht="47.25" x14ac:dyDescent="0.25">
      <c r="A121" s="62" t="s">
        <v>871</v>
      </c>
      <c r="B121" s="28">
        <v>157080</v>
      </c>
      <c r="C121" s="77" t="s">
        <v>488</v>
      </c>
      <c r="D121" s="28" t="s">
        <v>385</v>
      </c>
      <c r="E121" s="28"/>
      <c r="F121" s="26" t="s">
        <v>648</v>
      </c>
      <c r="G121" s="26" t="s">
        <v>798</v>
      </c>
      <c r="H121" s="53" t="s">
        <v>514</v>
      </c>
      <c r="I121" s="65"/>
      <c r="J121" s="66"/>
      <c r="K121" s="28">
        <v>95</v>
      </c>
      <c r="L121" s="67">
        <v>800000</v>
      </c>
      <c r="M121" s="89"/>
      <c r="N121" s="84" t="e">
        <f t="shared" si="1"/>
        <v>#VALUE!</v>
      </c>
      <c r="O121" s="65"/>
      <c r="P121" s="65"/>
      <c r="Q121" s="65"/>
      <c r="R121" s="89"/>
      <c r="S121" s="89"/>
    </row>
    <row r="122" spans="1:19" ht="31.5" x14ac:dyDescent="0.25">
      <c r="A122" s="62" t="s">
        <v>122</v>
      </c>
      <c r="B122" s="6">
        <v>157121</v>
      </c>
      <c r="C122" s="1" t="s">
        <v>136</v>
      </c>
      <c r="D122" s="17" t="s">
        <v>139</v>
      </c>
      <c r="E122" s="17"/>
      <c r="F122" s="18" t="s">
        <v>521</v>
      </c>
      <c r="G122" s="26" t="s">
        <v>644</v>
      </c>
      <c r="H122" s="18" t="s">
        <v>532</v>
      </c>
      <c r="I122" s="17">
        <v>36</v>
      </c>
      <c r="J122" s="27">
        <v>556</v>
      </c>
      <c r="K122" s="27" t="s">
        <v>3</v>
      </c>
      <c r="L122" s="63">
        <v>42368000</v>
      </c>
      <c r="M122" s="89"/>
      <c r="N122" s="84" t="e">
        <f t="shared" si="1"/>
        <v>#VALUE!</v>
      </c>
      <c r="O122" s="65"/>
      <c r="P122" s="65"/>
      <c r="Q122" s="65"/>
      <c r="R122" s="89"/>
      <c r="S122" s="89"/>
    </row>
    <row r="123" spans="1:19" ht="47.25" x14ac:dyDescent="0.25">
      <c r="A123" s="62" t="s">
        <v>125</v>
      </c>
      <c r="B123" s="6">
        <v>157121</v>
      </c>
      <c r="C123" s="1" t="s">
        <v>136</v>
      </c>
      <c r="D123" s="17" t="s">
        <v>137</v>
      </c>
      <c r="E123" s="17"/>
      <c r="F123" s="18" t="s">
        <v>521</v>
      </c>
      <c r="G123" s="26" t="s">
        <v>633</v>
      </c>
      <c r="H123" s="18" t="s">
        <v>514</v>
      </c>
      <c r="I123" s="17">
        <v>16</v>
      </c>
      <c r="J123" s="27" t="s">
        <v>3</v>
      </c>
      <c r="K123" s="27">
        <v>153</v>
      </c>
      <c r="L123" s="63">
        <v>8460000</v>
      </c>
      <c r="M123" s="89"/>
      <c r="N123" s="84" t="e">
        <f t="shared" si="1"/>
        <v>#VALUE!</v>
      </c>
      <c r="O123" s="65"/>
      <c r="P123" s="65"/>
      <c r="Q123" s="65"/>
      <c r="R123" s="89"/>
      <c r="S123" s="89"/>
    </row>
    <row r="124" spans="1:19" ht="63" x14ac:dyDescent="0.25">
      <c r="A124" s="62" t="s">
        <v>127</v>
      </c>
      <c r="B124" s="6">
        <v>157121</v>
      </c>
      <c r="C124" s="1" t="s">
        <v>136</v>
      </c>
      <c r="D124" s="17" t="s">
        <v>141</v>
      </c>
      <c r="E124" s="17"/>
      <c r="F124" s="18" t="s">
        <v>521</v>
      </c>
      <c r="G124" s="26" t="s">
        <v>764</v>
      </c>
      <c r="H124" s="18" t="s">
        <v>514</v>
      </c>
      <c r="I124" s="17">
        <v>34</v>
      </c>
      <c r="J124" s="27" t="s">
        <v>3</v>
      </c>
      <c r="K124" s="27">
        <v>142.31</v>
      </c>
      <c r="L124" s="63">
        <v>8239000</v>
      </c>
      <c r="M124" s="89"/>
      <c r="N124" s="84" t="e">
        <f t="shared" si="1"/>
        <v>#VALUE!</v>
      </c>
      <c r="O124" s="65"/>
      <c r="P124" s="65"/>
      <c r="Q124" s="65"/>
      <c r="R124" s="89"/>
      <c r="S124" s="89"/>
    </row>
    <row r="125" spans="1:19" ht="47.25" x14ac:dyDescent="0.25">
      <c r="A125" s="62" t="s">
        <v>129</v>
      </c>
      <c r="B125" s="6">
        <v>157172</v>
      </c>
      <c r="C125" s="1" t="s">
        <v>143</v>
      </c>
      <c r="D125" s="17" t="s">
        <v>144</v>
      </c>
      <c r="E125" s="17"/>
      <c r="F125" s="18" t="s">
        <v>521</v>
      </c>
      <c r="G125" s="26" t="s">
        <v>632</v>
      </c>
      <c r="H125" s="18" t="s">
        <v>514</v>
      </c>
      <c r="I125" s="17">
        <v>12</v>
      </c>
      <c r="J125" s="27" t="s">
        <v>3</v>
      </c>
      <c r="K125" s="27">
        <v>60.93</v>
      </c>
      <c r="L125" s="63">
        <v>4279000</v>
      </c>
      <c r="M125" s="89"/>
      <c r="N125" s="84" t="e">
        <f t="shared" si="1"/>
        <v>#VALUE!</v>
      </c>
      <c r="O125" s="65"/>
      <c r="P125" s="65"/>
      <c r="Q125" s="65"/>
      <c r="R125" s="89"/>
      <c r="S125" s="89"/>
    </row>
    <row r="126" spans="1:19" ht="63" x14ac:dyDescent="0.25">
      <c r="A126" s="62" t="s">
        <v>872</v>
      </c>
      <c r="B126" s="28">
        <v>157181</v>
      </c>
      <c r="C126" s="77" t="s">
        <v>386</v>
      </c>
      <c r="D126" s="42" t="s">
        <v>387</v>
      </c>
      <c r="E126" s="42"/>
      <c r="F126" s="39" t="s">
        <v>651</v>
      </c>
      <c r="G126" s="26" t="s">
        <v>677</v>
      </c>
      <c r="H126" s="53" t="s">
        <v>512</v>
      </c>
      <c r="I126" s="65"/>
      <c r="J126" s="66"/>
      <c r="K126" s="43">
        <v>41955</v>
      </c>
      <c r="L126" s="67">
        <v>85610000</v>
      </c>
      <c r="M126" s="89"/>
      <c r="N126" s="84" t="e">
        <f t="shared" si="1"/>
        <v>#VALUE!</v>
      </c>
      <c r="O126" s="65"/>
      <c r="P126" s="65"/>
      <c r="Q126" s="65"/>
      <c r="R126" s="89"/>
      <c r="S126" s="89"/>
    </row>
    <row r="127" spans="1:19" ht="85.5" x14ac:dyDescent="0.25">
      <c r="A127" s="62" t="s">
        <v>873</v>
      </c>
      <c r="B127" s="28">
        <v>157199</v>
      </c>
      <c r="C127" s="77" t="s">
        <v>146</v>
      </c>
      <c r="D127" s="61" t="s">
        <v>389</v>
      </c>
      <c r="E127" s="61"/>
      <c r="F127" s="26" t="s">
        <v>523</v>
      </c>
      <c r="G127" s="60" t="s">
        <v>799</v>
      </c>
      <c r="H127" s="53" t="s">
        <v>514</v>
      </c>
      <c r="I127" s="65"/>
      <c r="J127" s="66"/>
      <c r="K127" s="43">
        <v>79</v>
      </c>
      <c r="L127" s="67">
        <v>1751000</v>
      </c>
      <c r="M127" s="89"/>
      <c r="N127" s="84" t="e">
        <f t="shared" si="1"/>
        <v>#VALUE!</v>
      </c>
      <c r="O127" s="65"/>
      <c r="P127" s="65"/>
      <c r="Q127" s="65"/>
      <c r="R127" s="89"/>
      <c r="S127" s="89"/>
    </row>
    <row r="128" spans="1:19" ht="85.5" x14ac:dyDescent="0.25">
      <c r="A128" s="62" t="s">
        <v>874</v>
      </c>
      <c r="B128" s="28">
        <v>157199</v>
      </c>
      <c r="C128" s="77" t="s">
        <v>146</v>
      </c>
      <c r="D128" s="61" t="s">
        <v>388</v>
      </c>
      <c r="E128" s="61"/>
      <c r="F128" s="26" t="s">
        <v>523</v>
      </c>
      <c r="G128" s="60" t="s">
        <v>800</v>
      </c>
      <c r="H128" s="53" t="s">
        <v>514</v>
      </c>
      <c r="I128" s="65"/>
      <c r="J128" s="66"/>
      <c r="K128" s="43">
        <v>99</v>
      </c>
      <c r="L128" s="67">
        <v>2220000</v>
      </c>
      <c r="M128" s="89"/>
      <c r="N128" s="84" t="e">
        <f t="shared" si="1"/>
        <v>#VALUE!</v>
      </c>
      <c r="O128" s="65"/>
      <c r="P128" s="65"/>
      <c r="Q128" s="65"/>
      <c r="R128" s="89"/>
      <c r="S128" s="89"/>
    </row>
    <row r="129" spans="1:19" ht="85.5" x14ac:dyDescent="0.25">
      <c r="A129" s="62" t="s">
        <v>875</v>
      </c>
      <c r="B129" s="28">
        <v>157199</v>
      </c>
      <c r="C129" s="77" t="s">
        <v>146</v>
      </c>
      <c r="D129" s="61" t="s">
        <v>390</v>
      </c>
      <c r="E129" s="61"/>
      <c r="F129" s="26" t="s">
        <v>523</v>
      </c>
      <c r="G129" s="60" t="s">
        <v>801</v>
      </c>
      <c r="H129" s="53" t="s">
        <v>514</v>
      </c>
      <c r="I129" s="65"/>
      <c r="J129" s="66"/>
      <c r="K129" s="43">
        <v>95</v>
      </c>
      <c r="L129" s="67">
        <v>2106000</v>
      </c>
      <c r="M129" s="89"/>
      <c r="N129" s="84" t="e">
        <f t="shared" si="1"/>
        <v>#VALUE!</v>
      </c>
      <c r="O129" s="65"/>
      <c r="P129" s="65"/>
      <c r="Q129" s="65"/>
      <c r="R129" s="89"/>
      <c r="S129" s="89"/>
    </row>
    <row r="130" spans="1:19" ht="85.5" x14ac:dyDescent="0.25">
      <c r="A130" s="62" t="s">
        <v>876</v>
      </c>
      <c r="B130" s="28">
        <v>157199</v>
      </c>
      <c r="C130" s="77" t="s">
        <v>146</v>
      </c>
      <c r="D130" s="61" t="s">
        <v>391</v>
      </c>
      <c r="E130" s="61"/>
      <c r="F130" s="26" t="s">
        <v>523</v>
      </c>
      <c r="G130" s="60" t="s">
        <v>802</v>
      </c>
      <c r="H130" s="53" t="s">
        <v>514</v>
      </c>
      <c r="I130" s="65"/>
      <c r="J130" s="66"/>
      <c r="K130" s="43">
        <v>99</v>
      </c>
      <c r="L130" s="67">
        <v>2251000</v>
      </c>
      <c r="M130" s="89"/>
      <c r="N130" s="84" t="e">
        <f t="shared" ref="N130:N193" si="2">_xlfn.LET(
  _xlpm.y,VALUE(RIGHT(M130,4)),
  _xlpm.m,VALUE(MID(M130,4,2)),
  _xlpm.d,VALUE(LEFT(M130,2)),
  _xlpm.doy,IF(_xlpm.m&lt;=6,(_xlpm.m-1)*31+_xlpm.d,186+(_xlpm.m-7)*30+_xlpm.d),
  _xlpm.jdn,1948320+(_xlpm.y-1)*365+INT(((_xlpm.y-1)*8+21)/33)+_xlpm.doy,
  _xlpm.jdn-2415020
)</f>
        <v>#VALUE!</v>
      </c>
      <c r="O130" s="65"/>
      <c r="P130" s="65"/>
      <c r="Q130" s="65"/>
      <c r="R130" s="89"/>
      <c r="S130" s="89"/>
    </row>
    <row r="131" spans="1:19" ht="85.5" x14ac:dyDescent="0.25">
      <c r="A131" s="62" t="s">
        <v>877</v>
      </c>
      <c r="B131" s="28">
        <v>157199</v>
      </c>
      <c r="C131" s="77" t="s">
        <v>146</v>
      </c>
      <c r="D131" s="61" t="s">
        <v>531</v>
      </c>
      <c r="E131" s="61"/>
      <c r="F131" s="26" t="s">
        <v>523</v>
      </c>
      <c r="G131" s="60" t="s">
        <v>803</v>
      </c>
      <c r="H131" s="53" t="s">
        <v>514</v>
      </c>
      <c r="I131" s="65"/>
      <c r="J131" s="66"/>
      <c r="K131" s="43">
        <v>79</v>
      </c>
      <c r="L131" s="67">
        <v>1801000</v>
      </c>
      <c r="M131" s="89"/>
      <c r="N131" s="84" t="e">
        <f t="shared" si="2"/>
        <v>#VALUE!</v>
      </c>
      <c r="O131" s="65"/>
      <c r="P131" s="65"/>
      <c r="Q131" s="65"/>
      <c r="R131" s="89"/>
      <c r="S131" s="89"/>
    </row>
    <row r="132" spans="1:19" ht="85.5" x14ac:dyDescent="0.25">
      <c r="A132" s="62" t="s">
        <v>878</v>
      </c>
      <c r="B132" s="28">
        <v>157199</v>
      </c>
      <c r="C132" s="77" t="s">
        <v>146</v>
      </c>
      <c r="D132" s="61" t="s">
        <v>392</v>
      </c>
      <c r="E132" s="61"/>
      <c r="F132" s="26" t="s">
        <v>523</v>
      </c>
      <c r="G132" s="60" t="s">
        <v>804</v>
      </c>
      <c r="H132" s="53" t="s">
        <v>514</v>
      </c>
      <c r="I132" s="65"/>
      <c r="J132" s="66"/>
      <c r="K132" s="43">
        <v>99</v>
      </c>
      <c r="L132" s="67">
        <v>2220000</v>
      </c>
      <c r="M132" s="89"/>
      <c r="N132" s="84" t="e">
        <f t="shared" si="2"/>
        <v>#VALUE!</v>
      </c>
      <c r="O132" s="65"/>
      <c r="P132" s="65"/>
      <c r="Q132" s="65"/>
      <c r="R132" s="89"/>
      <c r="S132" s="89"/>
    </row>
    <row r="133" spans="1:19" ht="85.5" x14ac:dyDescent="0.25">
      <c r="A133" s="62" t="s">
        <v>879</v>
      </c>
      <c r="B133" s="28">
        <v>157199</v>
      </c>
      <c r="C133" s="77" t="s">
        <v>146</v>
      </c>
      <c r="D133" s="61" t="s">
        <v>393</v>
      </c>
      <c r="E133" s="61"/>
      <c r="F133" s="26" t="s">
        <v>523</v>
      </c>
      <c r="G133" s="60" t="s">
        <v>805</v>
      </c>
      <c r="H133" s="53" t="s">
        <v>514</v>
      </c>
      <c r="I133" s="65"/>
      <c r="J133" s="66"/>
      <c r="K133" s="43">
        <v>95</v>
      </c>
      <c r="L133" s="67">
        <v>2106000</v>
      </c>
      <c r="M133" s="89"/>
      <c r="N133" s="84" t="e">
        <f t="shared" si="2"/>
        <v>#VALUE!</v>
      </c>
      <c r="O133" s="65"/>
      <c r="P133" s="65"/>
      <c r="Q133" s="65"/>
      <c r="R133" s="89"/>
      <c r="S133" s="89"/>
    </row>
    <row r="134" spans="1:19" ht="47.25" x14ac:dyDescent="0.25">
      <c r="A134" s="62" t="s">
        <v>135</v>
      </c>
      <c r="B134" s="6">
        <v>157271</v>
      </c>
      <c r="C134" s="1" t="s">
        <v>149</v>
      </c>
      <c r="D134" s="17" t="s">
        <v>150</v>
      </c>
      <c r="E134" s="17"/>
      <c r="F134" s="18" t="s">
        <v>521</v>
      </c>
      <c r="G134" s="28" t="s">
        <v>622</v>
      </c>
      <c r="H134" s="18" t="s">
        <v>686</v>
      </c>
      <c r="I134" s="17" t="s">
        <v>3</v>
      </c>
      <c r="J134" s="27">
        <v>1329.15</v>
      </c>
      <c r="K134" s="27">
        <v>717</v>
      </c>
      <c r="L134" s="63">
        <v>72208000</v>
      </c>
      <c r="M134" s="89"/>
      <c r="N134" s="84" t="e">
        <f t="shared" si="2"/>
        <v>#VALUE!</v>
      </c>
      <c r="O134" s="65"/>
      <c r="P134" s="65"/>
      <c r="Q134" s="65"/>
      <c r="R134" s="89"/>
      <c r="S134" s="89"/>
    </row>
    <row r="135" spans="1:19" ht="78.75" x14ac:dyDescent="0.25">
      <c r="A135" s="62" t="s">
        <v>880</v>
      </c>
      <c r="B135" s="28">
        <v>157271</v>
      </c>
      <c r="C135" s="76" t="s">
        <v>394</v>
      </c>
      <c r="D135" s="44" t="s">
        <v>395</v>
      </c>
      <c r="E135" s="44"/>
      <c r="F135" s="39" t="s">
        <v>652</v>
      </c>
      <c r="G135" s="26" t="s">
        <v>678</v>
      </c>
      <c r="H135" s="54" t="s">
        <v>513</v>
      </c>
      <c r="I135" s="65"/>
      <c r="J135" s="66"/>
      <c r="K135" s="45">
        <v>70023</v>
      </c>
      <c r="L135" s="67">
        <v>62420000</v>
      </c>
      <c r="M135" s="89"/>
      <c r="N135" s="84" t="e">
        <f t="shared" si="2"/>
        <v>#VALUE!</v>
      </c>
      <c r="O135" s="65"/>
      <c r="P135" s="65"/>
      <c r="Q135" s="65"/>
      <c r="R135" s="89"/>
      <c r="S135" s="89"/>
    </row>
    <row r="136" spans="1:19" ht="78.75" x14ac:dyDescent="0.25">
      <c r="A136" s="62" t="s">
        <v>881</v>
      </c>
      <c r="B136" s="28">
        <v>157271</v>
      </c>
      <c r="C136" s="76" t="s">
        <v>394</v>
      </c>
      <c r="D136" s="44" t="s">
        <v>397</v>
      </c>
      <c r="E136" s="44"/>
      <c r="F136" s="39" t="s">
        <v>522</v>
      </c>
      <c r="G136" s="26" t="s">
        <v>806</v>
      </c>
      <c r="H136" s="54" t="s">
        <v>514</v>
      </c>
      <c r="I136" s="65"/>
      <c r="J136" s="66"/>
      <c r="K136" s="45">
        <v>269</v>
      </c>
      <c r="L136" s="67">
        <v>2460000</v>
      </c>
      <c r="M136" s="89"/>
      <c r="N136" s="84" t="e">
        <f t="shared" si="2"/>
        <v>#VALUE!</v>
      </c>
      <c r="O136" s="65"/>
      <c r="P136" s="65"/>
      <c r="Q136" s="65"/>
      <c r="R136" s="89"/>
      <c r="S136" s="89"/>
    </row>
    <row r="137" spans="1:19" ht="78.75" x14ac:dyDescent="0.25">
      <c r="A137" s="62" t="s">
        <v>882</v>
      </c>
      <c r="B137" s="28">
        <v>157271</v>
      </c>
      <c r="C137" s="76" t="s">
        <v>394</v>
      </c>
      <c r="D137" s="44" t="s">
        <v>396</v>
      </c>
      <c r="E137" s="44"/>
      <c r="F137" s="39" t="s">
        <v>652</v>
      </c>
      <c r="G137" s="26" t="s">
        <v>679</v>
      </c>
      <c r="H137" s="54" t="s">
        <v>514</v>
      </c>
      <c r="I137" s="65"/>
      <c r="J137" s="66"/>
      <c r="K137" s="45">
        <v>123</v>
      </c>
      <c r="L137" s="67">
        <v>11990000</v>
      </c>
      <c r="M137" s="89"/>
      <c r="N137" s="84" t="e">
        <f t="shared" si="2"/>
        <v>#VALUE!</v>
      </c>
      <c r="O137" s="65"/>
      <c r="P137" s="65"/>
      <c r="Q137" s="65"/>
      <c r="R137" s="89"/>
      <c r="S137" s="89"/>
    </row>
    <row r="138" spans="1:19" ht="63" x14ac:dyDescent="0.25">
      <c r="A138" s="62" t="s">
        <v>138</v>
      </c>
      <c r="B138" s="6">
        <v>157616</v>
      </c>
      <c r="C138" s="1" t="s">
        <v>152</v>
      </c>
      <c r="D138" s="29" t="s">
        <v>153</v>
      </c>
      <c r="E138" s="29"/>
      <c r="F138" s="18" t="s">
        <v>521</v>
      </c>
      <c r="G138" s="26" t="s">
        <v>624</v>
      </c>
      <c r="H138" s="18" t="s">
        <v>514</v>
      </c>
      <c r="I138" s="17">
        <v>13</v>
      </c>
      <c r="J138" s="27" t="s">
        <v>3</v>
      </c>
      <c r="K138" s="27">
        <v>84.15</v>
      </c>
      <c r="L138" s="63">
        <v>4279000</v>
      </c>
      <c r="M138" s="89"/>
      <c r="N138" s="84" t="e">
        <f t="shared" si="2"/>
        <v>#VALUE!</v>
      </c>
      <c r="O138" s="65"/>
      <c r="P138" s="65"/>
      <c r="Q138" s="65"/>
      <c r="R138" s="89"/>
      <c r="S138" s="89"/>
    </row>
    <row r="139" spans="1:19" ht="63" x14ac:dyDescent="0.25">
      <c r="A139" s="62" t="s">
        <v>140</v>
      </c>
      <c r="B139" s="6">
        <v>157616</v>
      </c>
      <c r="C139" s="1" t="s">
        <v>152</v>
      </c>
      <c r="D139" s="29" t="s">
        <v>169</v>
      </c>
      <c r="E139" s="29"/>
      <c r="F139" s="18" t="s">
        <v>521</v>
      </c>
      <c r="G139" s="26" t="s">
        <v>625</v>
      </c>
      <c r="H139" s="18" t="s">
        <v>514</v>
      </c>
      <c r="I139" s="17">
        <v>13</v>
      </c>
      <c r="J139" s="27" t="s">
        <v>3</v>
      </c>
      <c r="K139" s="27">
        <v>84.15</v>
      </c>
      <c r="L139" s="63">
        <v>4279000</v>
      </c>
      <c r="M139" s="89"/>
      <c r="N139" s="84" t="e">
        <f t="shared" si="2"/>
        <v>#VALUE!</v>
      </c>
      <c r="O139" s="65"/>
      <c r="P139" s="65"/>
      <c r="Q139" s="65"/>
      <c r="R139" s="89"/>
      <c r="S139" s="89"/>
    </row>
    <row r="140" spans="1:19" ht="63" x14ac:dyDescent="0.25">
      <c r="A140" s="62" t="s">
        <v>142</v>
      </c>
      <c r="B140" s="6">
        <v>157616</v>
      </c>
      <c r="C140" s="1" t="s">
        <v>152</v>
      </c>
      <c r="D140" s="29" t="s">
        <v>155</v>
      </c>
      <c r="E140" s="29"/>
      <c r="F140" s="18" t="s">
        <v>521</v>
      </c>
      <c r="G140" s="26" t="s">
        <v>624</v>
      </c>
      <c r="H140" s="18" t="s">
        <v>514</v>
      </c>
      <c r="I140" s="17">
        <v>13</v>
      </c>
      <c r="J140" s="27" t="s">
        <v>3</v>
      </c>
      <c r="K140" s="27">
        <v>84.15</v>
      </c>
      <c r="L140" s="63">
        <v>4283000</v>
      </c>
      <c r="M140" s="89"/>
      <c r="N140" s="84" t="e">
        <f t="shared" si="2"/>
        <v>#VALUE!</v>
      </c>
      <c r="O140" s="65"/>
      <c r="P140" s="65"/>
      <c r="Q140" s="65"/>
      <c r="R140" s="89"/>
      <c r="S140" s="89"/>
    </row>
    <row r="141" spans="1:19" ht="63" x14ac:dyDescent="0.25">
      <c r="A141" s="62" t="s">
        <v>145</v>
      </c>
      <c r="B141" s="6">
        <v>157616</v>
      </c>
      <c r="C141" s="1" t="s">
        <v>152</v>
      </c>
      <c r="D141" s="29" t="s">
        <v>626</v>
      </c>
      <c r="E141" s="29"/>
      <c r="F141" s="18" t="s">
        <v>521</v>
      </c>
      <c r="G141" s="26" t="s">
        <v>627</v>
      </c>
      <c r="H141" s="18" t="s">
        <v>514</v>
      </c>
      <c r="I141" s="17">
        <v>13</v>
      </c>
      <c r="J141" s="27" t="s">
        <v>3</v>
      </c>
      <c r="K141" s="27">
        <v>84.15</v>
      </c>
      <c r="L141" s="63">
        <v>4274000</v>
      </c>
      <c r="M141" s="89"/>
      <c r="N141" s="84" t="e">
        <f t="shared" si="2"/>
        <v>#VALUE!</v>
      </c>
      <c r="O141" s="65"/>
      <c r="P141" s="65"/>
      <c r="Q141" s="65"/>
      <c r="R141" s="89"/>
      <c r="S141" s="89"/>
    </row>
    <row r="142" spans="1:19" ht="63" x14ac:dyDescent="0.25">
      <c r="A142" s="62" t="s">
        <v>148</v>
      </c>
      <c r="B142" s="6">
        <v>157616</v>
      </c>
      <c r="C142" s="1" t="s">
        <v>152</v>
      </c>
      <c r="D142" s="29" t="s">
        <v>503</v>
      </c>
      <c r="E142" s="29"/>
      <c r="F142" s="18" t="s">
        <v>521</v>
      </c>
      <c r="G142" s="26" t="s">
        <v>628</v>
      </c>
      <c r="H142" s="18" t="s">
        <v>514</v>
      </c>
      <c r="I142" s="17">
        <v>13</v>
      </c>
      <c r="J142" s="27" t="s">
        <v>3</v>
      </c>
      <c r="K142" s="27">
        <v>84</v>
      </c>
      <c r="L142" s="63">
        <v>4279000</v>
      </c>
      <c r="M142" s="89"/>
      <c r="N142" s="84" t="e">
        <f t="shared" si="2"/>
        <v>#VALUE!</v>
      </c>
      <c r="O142" s="65"/>
      <c r="P142" s="65"/>
      <c r="Q142" s="65"/>
      <c r="R142" s="89"/>
      <c r="S142" s="89"/>
    </row>
    <row r="143" spans="1:19" ht="63" x14ac:dyDescent="0.25">
      <c r="A143" s="62" t="s">
        <v>151</v>
      </c>
      <c r="B143" s="6">
        <v>157616</v>
      </c>
      <c r="C143" s="1" t="s">
        <v>152</v>
      </c>
      <c r="D143" s="29" t="s">
        <v>504</v>
      </c>
      <c r="E143" s="29"/>
      <c r="F143" s="18" t="s">
        <v>521</v>
      </c>
      <c r="G143" s="26" t="s">
        <v>627</v>
      </c>
      <c r="H143" s="18" t="s">
        <v>514</v>
      </c>
      <c r="I143" s="17">
        <v>13</v>
      </c>
      <c r="J143" s="27" t="s">
        <v>3</v>
      </c>
      <c r="K143" s="27">
        <v>84.15</v>
      </c>
      <c r="L143" s="63">
        <v>4283000</v>
      </c>
      <c r="M143" s="89"/>
      <c r="N143" s="84" t="e">
        <f t="shared" si="2"/>
        <v>#VALUE!</v>
      </c>
      <c r="O143" s="65"/>
      <c r="P143" s="65"/>
      <c r="Q143" s="65"/>
      <c r="R143" s="89"/>
      <c r="S143" s="89"/>
    </row>
    <row r="144" spans="1:19" ht="63" x14ac:dyDescent="0.25">
      <c r="A144" s="62" t="s">
        <v>154</v>
      </c>
      <c r="B144" s="6">
        <v>157616</v>
      </c>
      <c r="C144" s="1" t="s">
        <v>152</v>
      </c>
      <c r="D144" s="29" t="s">
        <v>505</v>
      </c>
      <c r="E144" s="29"/>
      <c r="F144" s="18" t="s">
        <v>521</v>
      </c>
      <c r="G144" s="26" t="s">
        <v>629</v>
      </c>
      <c r="H144" s="18" t="s">
        <v>514</v>
      </c>
      <c r="I144" s="17">
        <v>13</v>
      </c>
      <c r="J144" s="27" t="s">
        <v>3</v>
      </c>
      <c r="K144" s="27">
        <v>84.15</v>
      </c>
      <c r="L144" s="63">
        <v>4279000</v>
      </c>
      <c r="M144" s="89"/>
      <c r="N144" s="84" t="e">
        <f t="shared" si="2"/>
        <v>#VALUE!</v>
      </c>
      <c r="O144" s="65"/>
      <c r="P144" s="65"/>
      <c r="Q144" s="65"/>
      <c r="R144" s="89"/>
      <c r="S144" s="89"/>
    </row>
    <row r="145" spans="1:19" ht="63" x14ac:dyDescent="0.25">
      <c r="A145" s="62" t="s">
        <v>156</v>
      </c>
      <c r="B145" s="6">
        <v>157616</v>
      </c>
      <c r="C145" s="1" t="s">
        <v>152</v>
      </c>
      <c r="D145" s="29" t="s">
        <v>161</v>
      </c>
      <c r="E145" s="29"/>
      <c r="F145" s="18" t="s">
        <v>521</v>
      </c>
      <c r="G145" s="26" t="s">
        <v>629</v>
      </c>
      <c r="H145" s="18" t="s">
        <v>514</v>
      </c>
      <c r="I145" s="17">
        <v>13</v>
      </c>
      <c r="J145" s="27" t="s">
        <v>3</v>
      </c>
      <c r="K145" s="27">
        <v>84.15</v>
      </c>
      <c r="L145" s="63">
        <v>4274000</v>
      </c>
      <c r="M145" s="89"/>
      <c r="N145" s="84" t="e">
        <f t="shared" si="2"/>
        <v>#VALUE!</v>
      </c>
      <c r="O145" s="65"/>
      <c r="P145" s="65"/>
      <c r="Q145" s="65"/>
      <c r="R145" s="89"/>
      <c r="S145" s="89"/>
    </row>
    <row r="146" spans="1:19" ht="63" x14ac:dyDescent="0.25">
      <c r="A146" s="62" t="s">
        <v>157</v>
      </c>
      <c r="B146" s="6">
        <v>157616</v>
      </c>
      <c r="C146" s="1" t="s">
        <v>152</v>
      </c>
      <c r="D146" s="29" t="s">
        <v>163</v>
      </c>
      <c r="E146" s="29"/>
      <c r="F146" s="18" t="s">
        <v>521</v>
      </c>
      <c r="G146" s="26" t="s">
        <v>628</v>
      </c>
      <c r="H146" s="18" t="s">
        <v>514</v>
      </c>
      <c r="I146" s="17">
        <v>13</v>
      </c>
      <c r="J146" s="27" t="s">
        <v>3</v>
      </c>
      <c r="K146" s="27">
        <v>84.15</v>
      </c>
      <c r="L146" s="63">
        <v>4283000</v>
      </c>
      <c r="M146" s="89"/>
      <c r="N146" s="84" t="e">
        <f t="shared" si="2"/>
        <v>#VALUE!</v>
      </c>
      <c r="O146" s="65"/>
      <c r="P146" s="65"/>
      <c r="Q146" s="65"/>
      <c r="R146" s="89"/>
      <c r="S146" s="89"/>
    </row>
    <row r="147" spans="1:19" ht="78.75" x14ac:dyDescent="0.25">
      <c r="A147" s="62" t="s">
        <v>158</v>
      </c>
      <c r="B147" s="6">
        <v>157616</v>
      </c>
      <c r="C147" s="1" t="s">
        <v>152</v>
      </c>
      <c r="D147" s="29" t="s">
        <v>165</v>
      </c>
      <c r="E147" s="29"/>
      <c r="F147" s="18" t="s">
        <v>521</v>
      </c>
      <c r="G147" s="26" t="s">
        <v>630</v>
      </c>
      <c r="H147" s="18" t="s">
        <v>514</v>
      </c>
      <c r="I147" s="17">
        <v>13</v>
      </c>
      <c r="J147" s="27" t="s">
        <v>3</v>
      </c>
      <c r="K147" s="27">
        <v>84.15</v>
      </c>
      <c r="L147" s="63">
        <v>4274000</v>
      </c>
      <c r="M147" s="89"/>
      <c r="N147" s="84" t="e">
        <f t="shared" si="2"/>
        <v>#VALUE!</v>
      </c>
      <c r="O147" s="65"/>
      <c r="P147" s="65"/>
      <c r="Q147" s="65"/>
      <c r="R147" s="89"/>
      <c r="S147" s="89"/>
    </row>
    <row r="148" spans="1:19" ht="78.75" x14ac:dyDescent="0.25">
      <c r="A148" s="62" t="s">
        <v>159</v>
      </c>
      <c r="B148" s="6">
        <v>157616</v>
      </c>
      <c r="C148" s="1" t="s">
        <v>152</v>
      </c>
      <c r="D148" s="29" t="s">
        <v>506</v>
      </c>
      <c r="E148" s="29"/>
      <c r="F148" s="18" t="s">
        <v>521</v>
      </c>
      <c r="G148" s="26" t="s">
        <v>630</v>
      </c>
      <c r="H148" s="18" t="s">
        <v>514</v>
      </c>
      <c r="I148" s="17">
        <v>13</v>
      </c>
      <c r="J148" s="27" t="s">
        <v>3</v>
      </c>
      <c r="K148" s="27">
        <v>84.15</v>
      </c>
      <c r="L148" s="63">
        <v>4274000</v>
      </c>
      <c r="M148" s="89"/>
      <c r="N148" s="84" t="e">
        <f t="shared" si="2"/>
        <v>#VALUE!</v>
      </c>
      <c r="O148" s="65"/>
      <c r="P148" s="65"/>
      <c r="Q148" s="65"/>
      <c r="R148" s="89"/>
      <c r="S148" s="89"/>
    </row>
    <row r="149" spans="1:19" ht="63" x14ac:dyDescent="0.25">
      <c r="A149" s="62" t="s">
        <v>160</v>
      </c>
      <c r="B149" s="6">
        <v>157616</v>
      </c>
      <c r="C149" s="1" t="s">
        <v>152</v>
      </c>
      <c r="D149" s="29" t="s">
        <v>507</v>
      </c>
      <c r="E149" s="29"/>
      <c r="F149" s="18" t="s">
        <v>521</v>
      </c>
      <c r="G149" s="26" t="s">
        <v>631</v>
      </c>
      <c r="H149" s="18" t="s">
        <v>514</v>
      </c>
      <c r="I149" s="17">
        <v>13</v>
      </c>
      <c r="J149" s="27"/>
      <c r="K149" s="27">
        <v>84</v>
      </c>
      <c r="L149" s="63">
        <v>231000</v>
      </c>
      <c r="M149" s="89"/>
      <c r="N149" s="84" t="e">
        <f t="shared" si="2"/>
        <v>#VALUE!</v>
      </c>
      <c r="O149" s="65"/>
      <c r="P149" s="65"/>
      <c r="Q149" s="65"/>
      <c r="R149" s="89"/>
      <c r="S149" s="89"/>
    </row>
    <row r="150" spans="1:19" ht="47.25" x14ac:dyDescent="0.25">
      <c r="A150" s="62" t="s">
        <v>883</v>
      </c>
      <c r="B150" s="41">
        <v>157771</v>
      </c>
      <c r="C150" s="76" t="s">
        <v>398</v>
      </c>
      <c r="D150" s="44" t="s">
        <v>399</v>
      </c>
      <c r="E150" s="44"/>
      <c r="F150" s="39" t="s">
        <v>653</v>
      </c>
      <c r="G150" s="26" t="s">
        <v>680</v>
      </c>
      <c r="H150" s="54" t="s">
        <v>512</v>
      </c>
      <c r="I150" s="65"/>
      <c r="J150" s="66"/>
      <c r="K150" s="45">
        <v>21860</v>
      </c>
      <c r="L150" s="67">
        <v>54000000</v>
      </c>
      <c r="M150" s="89"/>
      <c r="N150" s="84" t="e">
        <f t="shared" si="2"/>
        <v>#VALUE!</v>
      </c>
      <c r="O150" s="65"/>
      <c r="P150" s="65"/>
      <c r="Q150" s="65"/>
      <c r="R150" s="89"/>
      <c r="S150" s="89"/>
    </row>
    <row r="151" spans="1:19" ht="78.75" x14ac:dyDescent="0.25">
      <c r="A151" s="62" t="s">
        <v>884</v>
      </c>
      <c r="B151" s="28">
        <v>157795</v>
      </c>
      <c r="C151" s="77" t="s">
        <v>400</v>
      </c>
      <c r="D151" s="42" t="s">
        <v>401</v>
      </c>
      <c r="E151" s="42"/>
      <c r="F151" s="39" t="s">
        <v>623</v>
      </c>
      <c r="G151" s="26" t="s">
        <v>807</v>
      </c>
      <c r="H151" s="53" t="s">
        <v>513</v>
      </c>
      <c r="I151" s="65"/>
      <c r="J151" s="66"/>
      <c r="K151" s="43">
        <v>529</v>
      </c>
      <c r="L151" s="67">
        <v>490000</v>
      </c>
      <c r="M151" s="89"/>
      <c r="N151" s="84" t="e">
        <f t="shared" si="2"/>
        <v>#VALUE!</v>
      </c>
      <c r="O151" s="65"/>
      <c r="P151" s="65"/>
      <c r="Q151" s="65"/>
      <c r="R151" s="89"/>
      <c r="S151" s="89"/>
    </row>
    <row r="152" spans="1:19" ht="78.75" x14ac:dyDescent="0.25">
      <c r="A152" s="62" t="s">
        <v>162</v>
      </c>
      <c r="B152" s="6">
        <v>158218</v>
      </c>
      <c r="C152" s="1" t="s">
        <v>171</v>
      </c>
      <c r="D152" s="17">
        <v>28445</v>
      </c>
      <c r="E152" s="17"/>
      <c r="F152" s="18" t="s">
        <v>521</v>
      </c>
      <c r="G152" s="26" t="s">
        <v>675</v>
      </c>
      <c r="H152" s="18" t="s">
        <v>514</v>
      </c>
      <c r="I152" s="17" t="s">
        <v>3</v>
      </c>
      <c r="J152" s="27" t="s">
        <v>3</v>
      </c>
      <c r="K152" s="27">
        <v>198</v>
      </c>
      <c r="L152" s="63">
        <v>1260000</v>
      </c>
      <c r="M152" s="89"/>
      <c r="N152" s="84" t="e">
        <f t="shared" si="2"/>
        <v>#VALUE!</v>
      </c>
      <c r="O152" s="65"/>
      <c r="P152" s="65"/>
      <c r="Q152" s="65"/>
      <c r="R152" s="89"/>
      <c r="S152" s="89"/>
    </row>
    <row r="153" spans="1:19" ht="63" x14ac:dyDescent="0.25">
      <c r="A153" s="62" t="s">
        <v>164</v>
      </c>
      <c r="B153" s="10">
        <v>201154</v>
      </c>
      <c r="C153" s="1" t="s">
        <v>213</v>
      </c>
      <c r="D153" s="27" t="s">
        <v>508</v>
      </c>
      <c r="E153" s="27"/>
      <c r="F153" s="18" t="s">
        <v>521</v>
      </c>
      <c r="G153" s="26" t="s">
        <v>611</v>
      </c>
      <c r="H153" s="18" t="s">
        <v>687</v>
      </c>
      <c r="I153" s="19" t="s">
        <v>3</v>
      </c>
      <c r="J153" s="24" t="s">
        <v>3</v>
      </c>
      <c r="K153" s="24">
        <v>9124</v>
      </c>
      <c r="L153" s="63">
        <v>147329000</v>
      </c>
      <c r="M153" s="89"/>
      <c r="N153" s="84" t="e">
        <f t="shared" si="2"/>
        <v>#VALUE!</v>
      </c>
      <c r="O153" s="65"/>
      <c r="P153" s="65"/>
      <c r="Q153" s="65"/>
      <c r="R153" s="89"/>
      <c r="S153" s="89"/>
    </row>
    <row r="154" spans="1:19" ht="31.5" x14ac:dyDescent="0.25">
      <c r="A154" s="62" t="s">
        <v>166</v>
      </c>
      <c r="B154" s="10">
        <v>201154</v>
      </c>
      <c r="C154" s="1" t="s">
        <v>213</v>
      </c>
      <c r="D154" s="17" t="s">
        <v>215</v>
      </c>
      <c r="E154" s="17"/>
      <c r="F154" s="18" t="s">
        <v>521</v>
      </c>
      <c r="G154" s="26" t="s">
        <v>612</v>
      </c>
      <c r="H154" s="18" t="s">
        <v>514</v>
      </c>
      <c r="I154" s="19" t="s">
        <v>3</v>
      </c>
      <c r="J154" s="24" t="s">
        <v>3</v>
      </c>
      <c r="K154" s="24">
        <v>221</v>
      </c>
      <c r="L154" s="63">
        <v>11767000</v>
      </c>
      <c r="M154" s="89"/>
      <c r="N154" s="84" t="e">
        <f t="shared" si="2"/>
        <v>#VALUE!</v>
      </c>
      <c r="O154" s="65"/>
      <c r="P154" s="65"/>
      <c r="Q154" s="65"/>
      <c r="R154" s="89"/>
      <c r="S154" s="89"/>
    </row>
    <row r="155" spans="1:19" ht="47.25" x14ac:dyDescent="0.4">
      <c r="A155" s="62" t="s">
        <v>885</v>
      </c>
      <c r="B155" s="28">
        <v>201155</v>
      </c>
      <c r="C155" s="77" t="s">
        <v>402</v>
      </c>
      <c r="D155" s="28" t="s">
        <v>338</v>
      </c>
      <c r="E155" s="28"/>
      <c r="F155" s="39" t="s">
        <v>526</v>
      </c>
      <c r="G155" s="49" t="s">
        <v>620</v>
      </c>
      <c r="H155" s="55" t="s">
        <v>693</v>
      </c>
      <c r="I155" s="65"/>
      <c r="J155" s="66"/>
      <c r="K155" s="28">
        <v>65409</v>
      </c>
      <c r="L155" s="67">
        <v>108127000</v>
      </c>
      <c r="M155" s="89"/>
      <c r="N155" s="84" t="e">
        <f t="shared" si="2"/>
        <v>#VALUE!</v>
      </c>
      <c r="O155" s="65"/>
      <c r="P155" s="65"/>
      <c r="Q155" s="65"/>
      <c r="R155" s="89"/>
      <c r="S155" s="89"/>
    </row>
    <row r="156" spans="1:19" ht="47.25" x14ac:dyDescent="0.4">
      <c r="A156" s="62" t="s">
        <v>886</v>
      </c>
      <c r="B156" s="28">
        <v>201155</v>
      </c>
      <c r="C156" s="77" t="s">
        <v>402</v>
      </c>
      <c r="D156" s="28" t="s">
        <v>342</v>
      </c>
      <c r="E156" s="28"/>
      <c r="F156" s="39" t="s">
        <v>526</v>
      </c>
      <c r="G156" s="49" t="s">
        <v>621</v>
      </c>
      <c r="H156" s="28" t="s">
        <v>693</v>
      </c>
      <c r="I156" s="65"/>
      <c r="J156" s="66"/>
      <c r="K156" s="43">
        <v>20217</v>
      </c>
      <c r="L156" s="67">
        <v>40534000</v>
      </c>
      <c r="M156" s="89"/>
      <c r="N156" s="84" t="e">
        <f t="shared" si="2"/>
        <v>#VALUE!</v>
      </c>
      <c r="O156" s="65"/>
      <c r="P156" s="65"/>
      <c r="Q156" s="65"/>
      <c r="R156" s="89"/>
      <c r="S156" s="89"/>
    </row>
    <row r="157" spans="1:19" ht="47.25" x14ac:dyDescent="0.25">
      <c r="A157" s="62" t="s">
        <v>167</v>
      </c>
      <c r="B157" s="10">
        <v>201437</v>
      </c>
      <c r="C157" s="1" t="s">
        <v>173</v>
      </c>
      <c r="D157" s="17" t="s">
        <v>217</v>
      </c>
      <c r="E157" s="17"/>
      <c r="F157" s="18" t="s">
        <v>521</v>
      </c>
      <c r="G157" s="26" t="s">
        <v>613</v>
      </c>
      <c r="H157" s="18" t="s">
        <v>514</v>
      </c>
      <c r="I157" s="19" t="s">
        <v>3</v>
      </c>
      <c r="J157" s="24" t="s">
        <v>3</v>
      </c>
      <c r="K157" s="24">
        <v>164</v>
      </c>
      <c r="L157" s="63">
        <v>7253000</v>
      </c>
      <c r="M157" s="89"/>
      <c r="N157" s="84" t="e">
        <f t="shared" si="2"/>
        <v>#VALUE!</v>
      </c>
      <c r="O157" s="65"/>
      <c r="P157" s="65"/>
      <c r="Q157" s="65"/>
      <c r="R157" s="89"/>
      <c r="S157" s="89"/>
    </row>
    <row r="158" spans="1:19" ht="63" x14ac:dyDescent="0.25">
      <c r="A158" s="62" t="s">
        <v>168</v>
      </c>
      <c r="B158" s="6">
        <v>201437</v>
      </c>
      <c r="C158" s="1" t="s">
        <v>173</v>
      </c>
      <c r="D158" s="18" t="s">
        <v>174</v>
      </c>
      <c r="E158" s="18"/>
      <c r="F158" s="18" t="s">
        <v>521</v>
      </c>
      <c r="G158" s="26" t="s">
        <v>708</v>
      </c>
      <c r="H158" s="18" t="s">
        <v>514</v>
      </c>
      <c r="I158" s="17">
        <v>19</v>
      </c>
      <c r="J158" s="24" t="s">
        <v>3</v>
      </c>
      <c r="K158" s="24">
        <v>151</v>
      </c>
      <c r="L158" s="63">
        <v>4794000</v>
      </c>
      <c r="M158" s="89"/>
      <c r="N158" s="84" t="e">
        <f t="shared" si="2"/>
        <v>#VALUE!</v>
      </c>
      <c r="O158" s="65"/>
      <c r="P158" s="65"/>
      <c r="Q158" s="65"/>
      <c r="R158" s="89"/>
      <c r="S158" s="89"/>
    </row>
    <row r="159" spans="1:19" ht="47.25" x14ac:dyDescent="0.25">
      <c r="A159" s="62" t="s">
        <v>498</v>
      </c>
      <c r="B159" s="6">
        <v>201560</v>
      </c>
      <c r="C159" s="1" t="s">
        <v>509</v>
      </c>
      <c r="D159" s="18" t="s">
        <v>596</v>
      </c>
      <c r="E159" s="18"/>
      <c r="F159" s="18" t="s">
        <v>521</v>
      </c>
      <c r="G159" s="26" t="s">
        <v>597</v>
      </c>
      <c r="H159" s="18" t="s">
        <v>532</v>
      </c>
      <c r="I159" s="17">
        <v>38</v>
      </c>
      <c r="J159" s="24">
        <v>1029</v>
      </c>
      <c r="K159" s="24">
        <v>0</v>
      </c>
      <c r="L159" s="63">
        <v>57268000</v>
      </c>
      <c r="M159" s="89"/>
      <c r="N159" s="84" t="e">
        <f t="shared" si="2"/>
        <v>#VALUE!</v>
      </c>
      <c r="O159" s="65"/>
      <c r="P159" s="65"/>
      <c r="Q159" s="65"/>
      <c r="R159" s="89"/>
      <c r="S159" s="89"/>
    </row>
    <row r="160" spans="1:19" ht="31.5" x14ac:dyDescent="0.25">
      <c r="A160" s="62" t="s">
        <v>170</v>
      </c>
      <c r="B160" s="6">
        <v>201629</v>
      </c>
      <c r="C160" s="1" t="s">
        <v>177</v>
      </c>
      <c r="D160" s="17" t="s">
        <v>709</v>
      </c>
      <c r="E160" s="17"/>
      <c r="F160" s="18" t="s">
        <v>521</v>
      </c>
      <c r="G160" s="26" t="s">
        <v>598</v>
      </c>
      <c r="H160" s="18" t="s">
        <v>514</v>
      </c>
      <c r="I160" s="17">
        <v>10</v>
      </c>
      <c r="J160" s="24" t="s">
        <v>3</v>
      </c>
      <c r="K160" s="24">
        <v>136.5</v>
      </c>
      <c r="L160" s="63">
        <v>6176000</v>
      </c>
      <c r="M160" s="89"/>
      <c r="N160" s="84" t="e">
        <f t="shared" si="2"/>
        <v>#VALUE!</v>
      </c>
      <c r="O160" s="65"/>
      <c r="P160" s="65"/>
      <c r="Q160" s="65"/>
      <c r="R160" s="89"/>
      <c r="S160" s="89"/>
    </row>
    <row r="161" spans="1:19" ht="31.5" x14ac:dyDescent="0.25">
      <c r="A161" s="62" t="s">
        <v>172</v>
      </c>
      <c r="B161" s="6">
        <v>201629</v>
      </c>
      <c r="C161" s="1" t="s">
        <v>177</v>
      </c>
      <c r="D161" s="17" t="s">
        <v>710</v>
      </c>
      <c r="E161" s="17"/>
      <c r="F161" s="18" t="s">
        <v>521</v>
      </c>
      <c r="G161" s="26" t="s">
        <v>599</v>
      </c>
      <c r="H161" s="18" t="s">
        <v>514</v>
      </c>
      <c r="I161" s="17">
        <v>10</v>
      </c>
      <c r="J161" s="24" t="s">
        <v>3</v>
      </c>
      <c r="K161" s="24">
        <v>136.5</v>
      </c>
      <c r="L161" s="63">
        <v>6163000</v>
      </c>
      <c r="M161" s="89"/>
      <c r="N161" s="84" t="e">
        <f t="shared" si="2"/>
        <v>#VALUE!</v>
      </c>
      <c r="O161" s="65"/>
      <c r="P161" s="65"/>
      <c r="Q161" s="65"/>
      <c r="R161" s="89"/>
      <c r="S161" s="89"/>
    </row>
    <row r="162" spans="1:19" ht="31.5" x14ac:dyDescent="0.25">
      <c r="A162" s="62" t="s">
        <v>175</v>
      </c>
      <c r="B162" s="6">
        <v>201629</v>
      </c>
      <c r="C162" s="1" t="s">
        <v>177</v>
      </c>
      <c r="D162" s="17" t="s">
        <v>711</v>
      </c>
      <c r="E162" s="17"/>
      <c r="F162" s="18" t="s">
        <v>521</v>
      </c>
      <c r="G162" s="26" t="s">
        <v>600</v>
      </c>
      <c r="H162" s="18" t="s">
        <v>514</v>
      </c>
      <c r="I162" s="17">
        <v>10</v>
      </c>
      <c r="J162" s="24" t="s">
        <v>3</v>
      </c>
      <c r="K162" s="24">
        <v>136.5</v>
      </c>
      <c r="L162" s="63">
        <v>6170000</v>
      </c>
      <c r="M162" s="89"/>
      <c r="N162" s="84" t="e">
        <f t="shared" si="2"/>
        <v>#VALUE!</v>
      </c>
      <c r="O162" s="65"/>
      <c r="P162" s="65"/>
      <c r="Q162" s="65"/>
      <c r="R162" s="89"/>
      <c r="S162" s="89"/>
    </row>
    <row r="163" spans="1:19" ht="47.25" x14ac:dyDescent="0.25">
      <c r="A163" s="62" t="s">
        <v>178</v>
      </c>
      <c r="B163" s="6">
        <v>201754</v>
      </c>
      <c r="C163" s="1" t="s">
        <v>181</v>
      </c>
      <c r="D163" s="17" t="s">
        <v>182</v>
      </c>
      <c r="E163" s="17"/>
      <c r="F163" s="18" t="s">
        <v>521</v>
      </c>
      <c r="G163" s="26" t="s">
        <v>601</v>
      </c>
      <c r="H163" s="18" t="s">
        <v>514</v>
      </c>
      <c r="I163" s="17">
        <v>13</v>
      </c>
      <c r="J163" s="24" t="s">
        <v>3</v>
      </c>
      <c r="K163" s="24">
        <v>238.08</v>
      </c>
      <c r="L163" s="63">
        <v>11574000</v>
      </c>
      <c r="M163" s="89"/>
      <c r="N163" s="84" t="e">
        <f t="shared" si="2"/>
        <v>#VALUE!</v>
      </c>
      <c r="O163" s="65"/>
      <c r="P163" s="65"/>
      <c r="Q163" s="65"/>
      <c r="R163" s="89"/>
      <c r="S163" s="89"/>
    </row>
    <row r="164" spans="1:19" ht="47.25" x14ac:dyDescent="0.25">
      <c r="A164" s="62" t="s">
        <v>176</v>
      </c>
      <c r="B164" s="10">
        <v>201754</v>
      </c>
      <c r="C164" s="1" t="s">
        <v>219</v>
      </c>
      <c r="D164" s="17" t="s">
        <v>220</v>
      </c>
      <c r="E164" s="17"/>
      <c r="F164" s="18" t="s">
        <v>521</v>
      </c>
      <c r="G164" s="26" t="s">
        <v>614</v>
      </c>
      <c r="H164" s="18" t="s">
        <v>514</v>
      </c>
      <c r="I164" s="19" t="s">
        <v>3</v>
      </c>
      <c r="J164" s="24" t="s">
        <v>3</v>
      </c>
      <c r="K164" s="24">
        <v>116</v>
      </c>
      <c r="L164" s="63">
        <v>5876000</v>
      </c>
      <c r="M164" s="89"/>
      <c r="N164" s="84" t="e">
        <f t="shared" si="2"/>
        <v>#VALUE!</v>
      </c>
      <c r="O164" s="65"/>
      <c r="P164" s="65"/>
      <c r="Q164" s="65"/>
      <c r="R164" s="89"/>
      <c r="S164" s="89"/>
    </row>
    <row r="165" spans="1:19" ht="47.25" x14ac:dyDescent="0.25">
      <c r="A165" s="62" t="s">
        <v>179</v>
      </c>
      <c r="B165" s="6">
        <v>201765</v>
      </c>
      <c r="C165" s="1" t="s">
        <v>184</v>
      </c>
      <c r="D165" s="17" t="s">
        <v>187</v>
      </c>
      <c r="E165" s="17"/>
      <c r="F165" s="18" t="s">
        <v>521</v>
      </c>
      <c r="G165" s="26" t="s">
        <v>602</v>
      </c>
      <c r="H165" s="18" t="s">
        <v>514</v>
      </c>
      <c r="I165" s="17">
        <v>9</v>
      </c>
      <c r="J165" s="24" t="s">
        <v>3</v>
      </c>
      <c r="K165" s="24">
        <v>306.77</v>
      </c>
      <c r="L165" s="63">
        <v>12307000</v>
      </c>
      <c r="M165" s="89"/>
      <c r="N165" s="84" t="e">
        <f t="shared" si="2"/>
        <v>#VALUE!</v>
      </c>
      <c r="O165" s="65"/>
      <c r="P165" s="65"/>
      <c r="Q165" s="65"/>
      <c r="R165" s="89"/>
      <c r="S165" s="89"/>
    </row>
    <row r="166" spans="1:19" ht="31.5" x14ac:dyDescent="0.25">
      <c r="A166" s="62" t="s">
        <v>180</v>
      </c>
      <c r="B166" s="6">
        <v>201765</v>
      </c>
      <c r="C166" s="1" t="s">
        <v>184</v>
      </c>
      <c r="D166" s="17" t="s">
        <v>185</v>
      </c>
      <c r="E166" s="17"/>
      <c r="F166" s="18" t="s">
        <v>521</v>
      </c>
      <c r="G166" s="26" t="s">
        <v>645</v>
      </c>
      <c r="H166" s="18" t="s">
        <v>513</v>
      </c>
      <c r="I166" s="17">
        <v>14</v>
      </c>
      <c r="J166" s="24">
        <v>1180</v>
      </c>
      <c r="K166" s="24" t="s">
        <v>3</v>
      </c>
      <c r="L166" s="63">
        <v>71443000</v>
      </c>
      <c r="M166" s="89"/>
      <c r="N166" s="84" t="e">
        <f t="shared" si="2"/>
        <v>#VALUE!</v>
      </c>
      <c r="O166" s="65"/>
      <c r="P166" s="65"/>
      <c r="Q166" s="65"/>
      <c r="R166" s="89"/>
      <c r="S166" s="89"/>
    </row>
    <row r="167" spans="1:19" ht="47.25" x14ac:dyDescent="0.25">
      <c r="A167" s="62" t="s">
        <v>183</v>
      </c>
      <c r="B167" s="6">
        <v>201850</v>
      </c>
      <c r="C167" s="1" t="s">
        <v>189</v>
      </c>
      <c r="D167" s="17" t="s">
        <v>190</v>
      </c>
      <c r="E167" s="17"/>
      <c r="F167" s="18" t="s">
        <v>521</v>
      </c>
      <c r="G167" s="26" t="s">
        <v>603</v>
      </c>
      <c r="H167" s="18" t="s">
        <v>514</v>
      </c>
      <c r="I167" s="17">
        <v>12</v>
      </c>
      <c r="J167" s="24" t="s">
        <v>3</v>
      </c>
      <c r="K167" s="24">
        <v>75.77</v>
      </c>
      <c r="L167" s="63">
        <v>3856000</v>
      </c>
      <c r="M167" s="89"/>
      <c r="N167" s="84" t="e">
        <f t="shared" si="2"/>
        <v>#VALUE!</v>
      </c>
      <c r="O167" s="65"/>
      <c r="P167" s="65"/>
      <c r="Q167" s="65"/>
      <c r="R167" s="89"/>
      <c r="S167" s="89"/>
    </row>
    <row r="168" spans="1:19" ht="31.5" x14ac:dyDescent="0.25">
      <c r="A168" s="62" t="s">
        <v>186</v>
      </c>
      <c r="B168" s="10">
        <v>201922</v>
      </c>
      <c r="C168" s="1" t="s">
        <v>222</v>
      </c>
      <c r="D168" s="17" t="s">
        <v>223</v>
      </c>
      <c r="E168" s="17"/>
      <c r="F168" s="18" t="s">
        <v>521</v>
      </c>
      <c r="G168" s="26" t="s">
        <v>615</v>
      </c>
      <c r="H168" s="18" t="s">
        <v>514</v>
      </c>
      <c r="I168" s="19" t="s">
        <v>3</v>
      </c>
      <c r="J168" s="24" t="s">
        <v>3</v>
      </c>
      <c r="K168" s="24">
        <v>185</v>
      </c>
      <c r="L168" s="63">
        <v>7002000</v>
      </c>
      <c r="M168" s="89"/>
      <c r="N168" s="84" t="e">
        <f t="shared" si="2"/>
        <v>#VALUE!</v>
      </c>
      <c r="O168" s="65"/>
      <c r="P168" s="65"/>
      <c r="Q168" s="65"/>
      <c r="R168" s="89"/>
      <c r="S168" s="89"/>
    </row>
    <row r="169" spans="1:19" ht="47.25" x14ac:dyDescent="0.25">
      <c r="A169" s="62" t="s">
        <v>188</v>
      </c>
      <c r="B169" s="10">
        <v>201955</v>
      </c>
      <c r="C169" s="1" t="s">
        <v>198</v>
      </c>
      <c r="D169" s="17" t="s">
        <v>199</v>
      </c>
      <c r="E169" s="17"/>
      <c r="F169" s="18" t="s">
        <v>521</v>
      </c>
      <c r="G169" s="26" t="s">
        <v>606</v>
      </c>
      <c r="H169" s="18" t="s">
        <v>514</v>
      </c>
      <c r="I169" s="17">
        <v>14</v>
      </c>
      <c r="J169" s="24" t="s">
        <v>3</v>
      </c>
      <c r="K169" s="24">
        <v>193.04</v>
      </c>
      <c r="L169" s="63">
        <v>926000</v>
      </c>
      <c r="M169" s="89"/>
      <c r="N169" s="84" t="e">
        <f t="shared" si="2"/>
        <v>#VALUE!</v>
      </c>
      <c r="O169" s="65"/>
      <c r="P169" s="65"/>
      <c r="Q169" s="65"/>
      <c r="R169" s="89"/>
      <c r="S169" s="89"/>
    </row>
    <row r="170" spans="1:19" ht="31.5" x14ac:dyDescent="0.25">
      <c r="A170" s="62" t="s">
        <v>191</v>
      </c>
      <c r="B170" s="10">
        <v>201990</v>
      </c>
      <c r="C170" s="1" t="s">
        <v>192</v>
      </c>
      <c r="D170" s="17" t="s">
        <v>193</v>
      </c>
      <c r="E170" s="17"/>
      <c r="F170" s="18" t="s">
        <v>521</v>
      </c>
      <c r="G170" s="26" t="s">
        <v>604</v>
      </c>
      <c r="H170" s="17" t="s">
        <v>514</v>
      </c>
      <c r="I170" s="19" t="s">
        <v>3</v>
      </c>
      <c r="J170" s="19" t="s">
        <v>3</v>
      </c>
      <c r="K170" s="24">
        <v>88</v>
      </c>
      <c r="L170" s="63">
        <v>5698000</v>
      </c>
      <c r="M170" s="89"/>
      <c r="N170" s="84" t="e">
        <f t="shared" si="2"/>
        <v>#VALUE!</v>
      </c>
      <c r="O170" s="65"/>
      <c r="P170" s="65"/>
      <c r="Q170" s="65"/>
      <c r="R170" s="89"/>
      <c r="S170" s="89"/>
    </row>
    <row r="171" spans="1:19" ht="47.25" x14ac:dyDescent="0.25">
      <c r="A171" s="62" t="s">
        <v>194</v>
      </c>
      <c r="B171" s="10">
        <v>201990</v>
      </c>
      <c r="C171" s="1" t="s">
        <v>192</v>
      </c>
      <c r="D171" s="17" t="s">
        <v>225</v>
      </c>
      <c r="E171" s="17"/>
      <c r="F171" s="18" t="s">
        <v>521</v>
      </c>
      <c r="G171" s="26" t="s">
        <v>616</v>
      </c>
      <c r="H171" s="18" t="s">
        <v>514</v>
      </c>
      <c r="I171" s="19" t="s">
        <v>3</v>
      </c>
      <c r="J171" s="24" t="s">
        <v>3</v>
      </c>
      <c r="K171" s="24">
        <v>91</v>
      </c>
      <c r="L171" s="63">
        <v>4843000</v>
      </c>
      <c r="M171" s="89"/>
      <c r="N171" s="84" t="e">
        <f t="shared" si="2"/>
        <v>#VALUE!</v>
      </c>
      <c r="O171" s="65"/>
      <c r="P171" s="65"/>
      <c r="Q171" s="65"/>
      <c r="R171" s="89"/>
      <c r="S171" s="89"/>
    </row>
    <row r="172" spans="1:19" ht="31.5" x14ac:dyDescent="0.25">
      <c r="A172" s="62" t="s">
        <v>197</v>
      </c>
      <c r="B172" s="6">
        <v>202106</v>
      </c>
      <c r="C172" s="1" t="s">
        <v>195</v>
      </c>
      <c r="D172" s="17" t="s">
        <v>196</v>
      </c>
      <c r="E172" s="17"/>
      <c r="F172" s="18" t="s">
        <v>521</v>
      </c>
      <c r="G172" s="26" t="s">
        <v>605</v>
      </c>
      <c r="H172" s="18" t="s">
        <v>514</v>
      </c>
      <c r="I172" s="17">
        <v>16</v>
      </c>
      <c r="J172" s="24" t="s">
        <v>3</v>
      </c>
      <c r="K172" s="24">
        <v>272.33999999999997</v>
      </c>
      <c r="L172" s="63">
        <v>13006000</v>
      </c>
      <c r="M172" s="89"/>
      <c r="N172" s="84" t="e">
        <f t="shared" si="2"/>
        <v>#VALUE!</v>
      </c>
      <c r="O172" s="65"/>
      <c r="P172" s="65"/>
      <c r="Q172" s="65"/>
      <c r="R172" s="89"/>
      <c r="S172" s="89"/>
    </row>
    <row r="173" spans="1:19" ht="47.25" x14ac:dyDescent="0.25">
      <c r="A173" s="62" t="s">
        <v>200</v>
      </c>
      <c r="B173" s="10">
        <v>202114</v>
      </c>
      <c r="C173" s="1" t="s">
        <v>227</v>
      </c>
      <c r="D173" s="17" t="s">
        <v>228</v>
      </c>
      <c r="E173" s="17"/>
      <c r="F173" s="18" t="s">
        <v>521</v>
      </c>
      <c r="G173" s="26" t="s">
        <v>617</v>
      </c>
      <c r="H173" s="18" t="s">
        <v>514</v>
      </c>
      <c r="I173" s="17">
        <v>36</v>
      </c>
      <c r="J173" s="24" t="s">
        <v>3</v>
      </c>
      <c r="K173" s="24">
        <v>176</v>
      </c>
      <c r="L173" s="63">
        <v>5190000</v>
      </c>
      <c r="M173" s="89"/>
      <c r="N173" s="84" t="e">
        <f t="shared" si="2"/>
        <v>#VALUE!</v>
      </c>
      <c r="O173" s="65"/>
      <c r="P173" s="65"/>
      <c r="Q173" s="65"/>
      <c r="R173" s="89"/>
      <c r="S173" s="89"/>
    </row>
    <row r="174" spans="1:19" ht="47.25" x14ac:dyDescent="0.25">
      <c r="A174" s="62" t="s">
        <v>203</v>
      </c>
      <c r="B174" s="6">
        <v>202114</v>
      </c>
      <c r="C174" s="1" t="s">
        <v>227</v>
      </c>
      <c r="D174" s="17" t="s">
        <v>230</v>
      </c>
      <c r="E174" s="17"/>
      <c r="F174" s="18" t="s">
        <v>521</v>
      </c>
      <c r="G174" s="26" t="s">
        <v>618</v>
      </c>
      <c r="H174" s="18" t="s">
        <v>514</v>
      </c>
      <c r="I174" s="17">
        <v>22</v>
      </c>
      <c r="J174" s="24" t="s">
        <v>3</v>
      </c>
      <c r="K174" s="24">
        <v>145</v>
      </c>
      <c r="L174" s="63">
        <v>4489000</v>
      </c>
      <c r="M174" s="89"/>
      <c r="N174" s="84" t="e">
        <f t="shared" si="2"/>
        <v>#VALUE!</v>
      </c>
      <c r="O174" s="65"/>
      <c r="P174" s="65"/>
      <c r="Q174" s="65"/>
      <c r="R174" s="89"/>
      <c r="S174" s="89"/>
    </row>
    <row r="175" spans="1:19" ht="63" x14ac:dyDescent="0.25">
      <c r="A175" s="62" t="s">
        <v>206</v>
      </c>
      <c r="B175" s="6">
        <v>202146</v>
      </c>
      <c r="C175" s="1" t="s">
        <v>201</v>
      </c>
      <c r="D175" s="17" t="s">
        <v>202</v>
      </c>
      <c r="E175" s="17"/>
      <c r="F175" s="18" t="s">
        <v>521</v>
      </c>
      <c r="G175" s="26" t="s">
        <v>607</v>
      </c>
      <c r="H175" s="18" t="s">
        <v>514</v>
      </c>
      <c r="I175" s="17">
        <v>13</v>
      </c>
      <c r="J175" s="24" t="s">
        <v>3</v>
      </c>
      <c r="K175" s="24">
        <v>132</v>
      </c>
      <c r="L175" s="63">
        <v>7442000</v>
      </c>
      <c r="M175" s="89"/>
      <c r="N175" s="84" t="e">
        <f t="shared" si="2"/>
        <v>#VALUE!</v>
      </c>
      <c r="O175" s="65"/>
      <c r="P175" s="65"/>
      <c r="Q175" s="65"/>
      <c r="R175" s="89"/>
      <c r="S175" s="89"/>
    </row>
    <row r="176" spans="1:19" ht="47.25" x14ac:dyDescent="0.25">
      <c r="A176" s="62" t="s">
        <v>209</v>
      </c>
      <c r="B176" s="10">
        <v>202160</v>
      </c>
      <c r="C176" s="1" t="s">
        <v>232</v>
      </c>
      <c r="D176" s="17" t="s">
        <v>233</v>
      </c>
      <c r="E176" s="17"/>
      <c r="F176" s="18" t="s">
        <v>521</v>
      </c>
      <c r="G176" s="26" t="s">
        <v>619</v>
      </c>
      <c r="H176" s="18" t="s">
        <v>514</v>
      </c>
      <c r="I176" s="18">
        <v>10</v>
      </c>
      <c r="J176" s="24" t="s">
        <v>3</v>
      </c>
      <c r="K176" s="24">
        <v>123</v>
      </c>
      <c r="L176" s="63">
        <v>4215000</v>
      </c>
      <c r="M176" s="89"/>
      <c r="N176" s="84" t="e">
        <f t="shared" si="2"/>
        <v>#VALUE!</v>
      </c>
      <c r="O176" s="65"/>
      <c r="P176" s="65"/>
      <c r="Q176" s="65"/>
      <c r="R176" s="89"/>
      <c r="S176" s="89"/>
    </row>
    <row r="177" spans="1:19" ht="47.25" x14ac:dyDescent="0.25">
      <c r="A177" s="62" t="s">
        <v>212</v>
      </c>
      <c r="B177" s="6">
        <v>202253</v>
      </c>
      <c r="C177" s="1" t="s">
        <v>204</v>
      </c>
      <c r="D177" s="17" t="s">
        <v>205</v>
      </c>
      <c r="E177" s="17"/>
      <c r="F177" s="18" t="s">
        <v>521</v>
      </c>
      <c r="G177" s="26" t="s">
        <v>608</v>
      </c>
      <c r="H177" s="18" t="s">
        <v>514</v>
      </c>
      <c r="I177" s="17">
        <v>37</v>
      </c>
      <c r="J177" s="24" t="s">
        <v>3</v>
      </c>
      <c r="K177" s="24">
        <v>182.7</v>
      </c>
      <c r="L177" s="63">
        <v>7064000</v>
      </c>
      <c r="M177" s="89"/>
      <c r="N177" s="84" t="e">
        <f t="shared" si="2"/>
        <v>#VALUE!</v>
      </c>
      <c r="O177" s="65"/>
      <c r="P177" s="65"/>
      <c r="Q177" s="65"/>
      <c r="R177" s="89"/>
      <c r="S177" s="89"/>
    </row>
    <row r="178" spans="1:19" ht="63" x14ac:dyDescent="0.4">
      <c r="A178" s="62" t="s">
        <v>887</v>
      </c>
      <c r="B178" s="28">
        <v>202253</v>
      </c>
      <c r="C178" s="77" t="s">
        <v>204</v>
      </c>
      <c r="D178" s="46" t="s">
        <v>403</v>
      </c>
      <c r="E178" s="46"/>
      <c r="F178" s="39" t="s">
        <v>654</v>
      </c>
      <c r="G178" s="49" t="s">
        <v>646</v>
      </c>
      <c r="H178" s="55" t="s">
        <v>532</v>
      </c>
      <c r="I178" s="65"/>
      <c r="J178" s="66"/>
      <c r="K178" s="28">
        <v>492</v>
      </c>
      <c r="L178" s="67">
        <v>6260000</v>
      </c>
      <c r="M178" s="89"/>
      <c r="N178" s="84" t="e">
        <f t="shared" si="2"/>
        <v>#VALUE!</v>
      </c>
      <c r="O178" s="65"/>
      <c r="P178" s="65"/>
      <c r="Q178" s="65"/>
      <c r="R178" s="89"/>
      <c r="S178" s="89"/>
    </row>
    <row r="179" spans="1:19" ht="63" x14ac:dyDescent="0.25">
      <c r="A179" s="62" t="s">
        <v>214</v>
      </c>
      <c r="B179" s="6">
        <v>202367</v>
      </c>
      <c r="C179" s="1" t="s">
        <v>207</v>
      </c>
      <c r="D179" s="17" t="s">
        <v>208</v>
      </c>
      <c r="E179" s="17"/>
      <c r="F179" s="18" t="s">
        <v>521</v>
      </c>
      <c r="G179" s="26" t="s">
        <v>609</v>
      </c>
      <c r="H179" s="18" t="s">
        <v>514</v>
      </c>
      <c r="I179" s="17">
        <v>15</v>
      </c>
      <c r="J179" s="24" t="s">
        <v>3</v>
      </c>
      <c r="K179" s="24">
        <v>63.77</v>
      </c>
      <c r="L179" s="63">
        <v>1920000</v>
      </c>
      <c r="M179" s="89"/>
      <c r="N179" s="84" t="e">
        <f t="shared" si="2"/>
        <v>#VALUE!</v>
      </c>
      <c r="O179" s="65"/>
      <c r="P179" s="65"/>
      <c r="Q179" s="65"/>
      <c r="R179" s="89"/>
      <c r="S179" s="89"/>
    </row>
    <row r="180" spans="1:19" ht="31.5" x14ac:dyDescent="0.25">
      <c r="A180" s="62" t="s">
        <v>216</v>
      </c>
      <c r="B180" s="6">
        <v>202390</v>
      </c>
      <c r="C180" s="1" t="s">
        <v>210</v>
      </c>
      <c r="D180" s="17" t="s">
        <v>211</v>
      </c>
      <c r="E180" s="17"/>
      <c r="F180" s="18" t="s">
        <v>521</v>
      </c>
      <c r="G180" s="26" t="s">
        <v>610</v>
      </c>
      <c r="H180" s="18" t="s">
        <v>514</v>
      </c>
      <c r="I180" s="17">
        <v>7</v>
      </c>
      <c r="J180" s="24" t="s">
        <v>3</v>
      </c>
      <c r="K180" s="24">
        <v>140.30000000000001</v>
      </c>
      <c r="L180" s="63">
        <v>3817000</v>
      </c>
      <c r="M180" s="89"/>
      <c r="N180" s="84" t="e">
        <f t="shared" si="2"/>
        <v>#VALUE!</v>
      </c>
      <c r="O180" s="65"/>
      <c r="P180" s="65"/>
      <c r="Q180" s="65"/>
      <c r="R180" s="89"/>
      <c r="S180" s="89"/>
    </row>
    <row r="181" spans="1:19" ht="47.25" x14ac:dyDescent="0.4">
      <c r="A181" s="62" t="s">
        <v>888</v>
      </c>
      <c r="B181" s="47">
        <v>252337</v>
      </c>
      <c r="C181" s="76" t="s">
        <v>404</v>
      </c>
      <c r="D181" s="48" t="s">
        <v>405</v>
      </c>
      <c r="E181" s="48"/>
      <c r="F181" s="39" t="s">
        <v>520</v>
      </c>
      <c r="G181" s="49" t="s">
        <v>664</v>
      </c>
      <c r="H181" s="41" t="s">
        <v>514</v>
      </c>
      <c r="I181" s="65"/>
      <c r="J181" s="66"/>
      <c r="K181" s="41">
        <v>300</v>
      </c>
      <c r="L181" s="67">
        <v>2030000</v>
      </c>
      <c r="M181" s="89" t="s">
        <v>943</v>
      </c>
      <c r="N181" s="84">
        <f t="shared" si="2"/>
        <v>46046</v>
      </c>
      <c r="O181" s="65"/>
      <c r="P181" s="65"/>
      <c r="Q181" s="65"/>
      <c r="R181" s="89"/>
      <c r="S181" s="89"/>
    </row>
    <row r="182" spans="1:19" ht="47.25" x14ac:dyDescent="0.25">
      <c r="A182" s="62" t="s">
        <v>221</v>
      </c>
      <c r="B182" s="10">
        <v>301592</v>
      </c>
      <c r="C182" s="1" t="s">
        <v>511</v>
      </c>
      <c r="D182" s="17" t="s">
        <v>240</v>
      </c>
      <c r="E182" s="17"/>
      <c r="F182" s="18" t="s">
        <v>521</v>
      </c>
      <c r="G182" s="26" t="s">
        <v>515</v>
      </c>
      <c r="H182" s="18" t="s">
        <v>514</v>
      </c>
      <c r="I182" s="17">
        <v>15</v>
      </c>
      <c r="J182" s="24" t="s">
        <v>3</v>
      </c>
      <c r="K182" s="30">
        <v>177</v>
      </c>
      <c r="L182" s="63">
        <v>5684000</v>
      </c>
      <c r="M182" s="89"/>
      <c r="N182" s="84" t="e">
        <f t="shared" si="2"/>
        <v>#VALUE!</v>
      </c>
      <c r="O182" s="65"/>
      <c r="P182" s="65"/>
      <c r="Q182" s="65"/>
      <c r="R182" s="89"/>
      <c r="S182" s="89"/>
    </row>
    <row r="183" spans="1:19" ht="47.25" x14ac:dyDescent="0.25">
      <c r="A183" s="62" t="s">
        <v>224</v>
      </c>
      <c r="B183" s="10">
        <v>301808</v>
      </c>
      <c r="C183" s="1" t="s">
        <v>242</v>
      </c>
      <c r="D183" s="26" t="s">
        <v>243</v>
      </c>
      <c r="E183" s="26"/>
      <c r="F183" s="18" t="s">
        <v>521</v>
      </c>
      <c r="G183" s="18" t="s">
        <v>516</v>
      </c>
      <c r="H183" s="18" t="s">
        <v>514</v>
      </c>
      <c r="I183" s="17">
        <v>24</v>
      </c>
      <c r="J183" s="24" t="s">
        <v>3</v>
      </c>
      <c r="K183" s="30">
        <v>149.38999999999999</v>
      </c>
      <c r="L183" s="63">
        <v>5553000</v>
      </c>
      <c r="M183" s="89"/>
      <c r="N183" s="84" t="e">
        <f t="shared" si="2"/>
        <v>#VALUE!</v>
      </c>
      <c r="O183" s="65"/>
      <c r="P183" s="65"/>
      <c r="Q183" s="65"/>
      <c r="R183" s="89"/>
      <c r="S183" s="89"/>
    </row>
    <row r="184" spans="1:19" ht="47.25" x14ac:dyDescent="0.25">
      <c r="A184" s="62" t="s">
        <v>226</v>
      </c>
      <c r="B184" s="10">
        <v>301808</v>
      </c>
      <c r="C184" s="1" t="s">
        <v>242</v>
      </c>
      <c r="D184" s="17" t="s">
        <v>569</v>
      </c>
      <c r="E184" s="17"/>
      <c r="F184" s="18" t="s">
        <v>521</v>
      </c>
      <c r="G184" s="18" t="s">
        <v>570</v>
      </c>
      <c r="H184" s="18" t="s">
        <v>514</v>
      </c>
      <c r="I184" s="17">
        <v>45</v>
      </c>
      <c r="J184" s="24" t="s">
        <v>3</v>
      </c>
      <c r="K184" s="30">
        <v>99.78</v>
      </c>
      <c r="L184" s="63">
        <v>5494000</v>
      </c>
      <c r="M184" s="89"/>
      <c r="N184" s="84" t="e">
        <f t="shared" si="2"/>
        <v>#VALUE!</v>
      </c>
      <c r="O184" s="65"/>
      <c r="P184" s="65"/>
      <c r="Q184" s="65"/>
      <c r="R184" s="89"/>
      <c r="S184" s="89"/>
    </row>
    <row r="185" spans="1:19" ht="63" x14ac:dyDescent="0.25">
      <c r="A185" s="62" t="s">
        <v>229</v>
      </c>
      <c r="B185" s="10">
        <v>301808</v>
      </c>
      <c r="C185" s="1" t="s">
        <v>242</v>
      </c>
      <c r="D185" s="26" t="s">
        <v>246</v>
      </c>
      <c r="E185" s="26"/>
      <c r="F185" s="18" t="s">
        <v>521</v>
      </c>
      <c r="G185" s="18" t="s">
        <v>571</v>
      </c>
      <c r="H185" s="18" t="s">
        <v>514</v>
      </c>
      <c r="I185" s="17">
        <v>36</v>
      </c>
      <c r="J185" s="24" t="s">
        <v>3</v>
      </c>
      <c r="K185" s="30">
        <v>336.81</v>
      </c>
      <c r="L185" s="63">
        <v>15596000</v>
      </c>
      <c r="M185" s="89"/>
      <c r="N185" s="84" t="e">
        <f t="shared" si="2"/>
        <v>#VALUE!</v>
      </c>
      <c r="O185" s="65"/>
      <c r="P185" s="65"/>
      <c r="Q185" s="65"/>
      <c r="R185" s="89"/>
      <c r="S185" s="89"/>
    </row>
    <row r="186" spans="1:19" ht="63" x14ac:dyDescent="0.25">
      <c r="A186" s="62" t="s">
        <v>231</v>
      </c>
      <c r="B186" s="10">
        <v>301808</v>
      </c>
      <c r="C186" s="1" t="s">
        <v>242</v>
      </c>
      <c r="D186" s="17" t="s">
        <v>248</v>
      </c>
      <c r="E186" s="17"/>
      <c r="F186" s="18" t="s">
        <v>521</v>
      </c>
      <c r="G186" s="18" t="s">
        <v>571</v>
      </c>
      <c r="H186" s="18" t="s">
        <v>514</v>
      </c>
      <c r="I186" s="17">
        <v>37</v>
      </c>
      <c r="J186" s="24" t="s">
        <v>3</v>
      </c>
      <c r="K186" s="30">
        <v>164.66</v>
      </c>
      <c r="L186" s="63">
        <v>8360000</v>
      </c>
      <c r="M186" s="89"/>
      <c r="N186" s="84" t="e">
        <f t="shared" si="2"/>
        <v>#VALUE!</v>
      </c>
      <c r="O186" s="65"/>
      <c r="P186" s="65"/>
      <c r="Q186" s="65"/>
      <c r="R186" s="89"/>
      <c r="S186" s="89"/>
    </row>
    <row r="187" spans="1:19" ht="63" x14ac:dyDescent="0.25">
      <c r="A187" s="62" t="s">
        <v>234</v>
      </c>
      <c r="B187" s="10">
        <v>301808</v>
      </c>
      <c r="C187" s="1" t="s">
        <v>242</v>
      </c>
      <c r="D187" s="26" t="s">
        <v>250</v>
      </c>
      <c r="E187" s="26"/>
      <c r="F187" s="18" t="s">
        <v>521</v>
      </c>
      <c r="G187" s="18" t="s">
        <v>571</v>
      </c>
      <c r="H187" s="18" t="s">
        <v>514</v>
      </c>
      <c r="I187" s="17">
        <v>37</v>
      </c>
      <c r="J187" s="24" t="s">
        <v>3</v>
      </c>
      <c r="K187" s="30">
        <v>154.5</v>
      </c>
      <c r="L187" s="63">
        <v>7828000</v>
      </c>
      <c r="M187" s="89"/>
      <c r="N187" s="84" t="e">
        <f t="shared" si="2"/>
        <v>#VALUE!</v>
      </c>
      <c r="O187" s="65"/>
      <c r="P187" s="65"/>
      <c r="Q187" s="65"/>
      <c r="R187" s="89"/>
      <c r="S187" s="89"/>
    </row>
    <row r="188" spans="1:19" ht="63" x14ac:dyDescent="0.25">
      <c r="A188" s="62" t="s">
        <v>237</v>
      </c>
      <c r="B188" s="10">
        <v>301808</v>
      </c>
      <c r="C188" s="1" t="s">
        <v>242</v>
      </c>
      <c r="D188" s="26" t="s">
        <v>254</v>
      </c>
      <c r="E188" s="26"/>
      <c r="F188" s="18" t="s">
        <v>521</v>
      </c>
      <c r="G188" s="18" t="s">
        <v>571</v>
      </c>
      <c r="H188" s="18" t="s">
        <v>514</v>
      </c>
      <c r="I188" s="17">
        <v>37</v>
      </c>
      <c r="J188" s="24" t="s">
        <v>3</v>
      </c>
      <c r="K188" s="30">
        <v>248.25</v>
      </c>
      <c r="L188" s="63">
        <v>11510000</v>
      </c>
      <c r="M188" s="89"/>
      <c r="N188" s="84" t="e">
        <f t="shared" si="2"/>
        <v>#VALUE!</v>
      </c>
      <c r="O188" s="65"/>
      <c r="P188" s="65"/>
      <c r="Q188" s="65"/>
      <c r="R188" s="89"/>
      <c r="S188" s="89"/>
    </row>
    <row r="189" spans="1:19" ht="110.25" x14ac:dyDescent="0.25">
      <c r="A189" s="62" t="s">
        <v>239</v>
      </c>
      <c r="B189" s="2">
        <v>301808</v>
      </c>
      <c r="C189" s="1" t="s">
        <v>242</v>
      </c>
      <c r="D189" s="26" t="s">
        <v>252</v>
      </c>
      <c r="E189" s="26"/>
      <c r="F189" s="18" t="s">
        <v>521</v>
      </c>
      <c r="G189" s="18" t="s">
        <v>572</v>
      </c>
      <c r="H189" s="18" t="s">
        <v>514</v>
      </c>
      <c r="I189" s="17">
        <v>44</v>
      </c>
      <c r="J189" s="24" t="s">
        <v>3</v>
      </c>
      <c r="K189" s="30">
        <v>137.4</v>
      </c>
      <c r="L189" s="63">
        <v>3563000</v>
      </c>
      <c r="M189" s="89"/>
      <c r="N189" s="84" t="e">
        <f t="shared" si="2"/>
        <v>#VALUE!</v>
      </c>
      <c r="O189" s="65"/>
      <c r="P189" s="65"/>
      <c r="Q189" s="65"/>
      <c r="R189" s="89"/>
      <c r="S189" s="89"/>
    </row>
    <row r="190" spans="1:19" ht="31.5" x14ac:dyDescent="0.4">
      <c r="A190" s="62" t="s">
        <v>889</v>
      </c>
      <c r="B190" s="28">
        <v>301993</v>
      </c>
      <c r="C190" s="77" t="s">
        <v>489</v>
      </c>
      <c r="D190" s="28" t="s">
        <v>406</v>
      </c>
      <c r="E190" s="28"/>
      <c r="F190" s="39" t="s">
        <v>658</v>
      </c>
      <c r="G190" s="49" t="s">
        <v>589</v>
      </c>
      <c r="H190" s="28" t="s">
        <v>532</v>
      </c>
      <c r="I190" s="65"/>
      <c r="J190" s="66"/>
      <c r="K190" s="28">
        <v>397</v>
      </c>
      <c r="L190" s="67">
        <v>1010000</v>
      </c>
      <c r="M190" s="89"/>
      <c r="N190" s="84" t="e">
        <f t="shared" si="2"/>
        <v>#VALUE!</v>
      </c>
      <c r="O190" s="65"/>
      <c r="P190" s="65"/>
      <c r="Q190" s="65"/>
      <c r="R190" s="89"/>
      <c r="S190" s="89"/>
    </row>
    <row r="191" spans="1:19" ht="78.75" x14ac:dyDescent="0.25">
      <c r="A191" s="62" t="s">
        <v>890</v>
      </c>
      <c r="B191" s="28">
        <v>302001</v>
      </c>
      <c r="C191" s="77" t="s">
        <v>407</v>
      </c>
      <c r="D191" s="28" t="s">
        <v>408</v>
      </c>
      <c r="E191" s="28"/>
      <c r="F191" s="39" t="s">
        <v>528</v>
      </c>
      <c r="G191" s="26" t="s">
        <v>590</v>
      </c>
      <c r="H191" s="28" t="s">
        <v>693</v>
      </c>
      <c r="I191" s="65"/>
      <c r="J191" s="66"/>
      <c r="K191" s="28">
        <v>24973</v>
      </c>
      <c r="L191" s="67">
        <v>59955000</v>
      </c>
      <c r="M191" s="89"/>
      <c r="N191" s="84" t="e">
        <f t="shared" si="2"/>
        <v>#VALUE!</v>
      </c>
      <c r="O191" s="65"/>
      <c r="P191" s="65"/>
      <c r="Q191" s="65"/>
      <c r="R191" s="89"/>
      <c r="S191" s="89"/>
    </row>
    <row r="192" spans="1:19" ht="47.25" x14ac:dyDescent="0.25">
      <c r="A192" s="62" t="s">
        <v>241</v>
      </c>
      <c r="B192" s="10">
        <v>302119</v>
      </c>
      <c r="C192" s="1" t="s">
        <v>256</v>
      </c>
      <c r="D192" s="31" t="s">
        <v>257</v>
      </c>
      <c r="E192" s="31"/>
      <c r="F192" s="18" t="s">
        <v>521</v>
      </c>
      <c r="G192" s="26" t="s">
        <v>573</v>
      </c>
      <c r="H192" s="18" t="s">
        <v>514</v>
      </c>
      <c r="I192" s="17">
        <v>16</v>
      </c>
      <c r="J192" s="24" t="s">
        <v>3</v>
      </c>
      <c r="K192" s="30">
        <v>85.3</v>
      </c>
      <c r="L192" s="63">
        <v>4885000</v>
      </c>
      <c r="M192" s="89"/>
      <c r="N192" s="84" t="e">
        <f t="shared" si="2"/>
        <v>#VALUE!</v>
      </c>
      <c r="O192" s="65"/>
      <c r="P192" s="65"/>
      <c r="Q192" s="65"/>
      <c r="R192" s="89"/>
      <c r="S192" s="89"/>
    </row>
    <row r="193" spans="1:19" ht="47.25" x14ac:dyDescent="0.25">
      <c r="A193" s="62" t="s">
        <v>244</v>
      </c>
      <c r="B193" s="10">
        <v>302119</v>
      </c>
      <c r="C193" s="1" t="s">
        <v>256</v>
      </c>
      <c r="D193" s="31" t="s">
        <v>259</v>
      </c>
      <c r="E193" s="31"/>
      <c r="F193" s="18" t="s">
        <v>521</v>
      </c>
      <c r="G193" s="26" t="s">
        <v>574</v>
      </c>
      <c r="H193" s="18" t="s">
        <v>514</v>
      </c>
      <c r="I193" s="17">
        <v>20</v>
      </c>
      <c r="J193" s="24" t="s">
        <v>3</v>
      </c>
      <c r="K193" s="30">
        <v>62.58</v>
      </c>
      <c r="L193" s="63">
        <v>1694000</v>
      </c>
      <c r="M193" s="89"/>
      <c r="N193" s="84" t="e">
        <f t="shared" si="2"/>
        <v>#VALUE!</v>
      </c>
      <c r="O193" s="65"/>
      <c r="P193" s="65"/>
      <c r="Q193" s="65"/>
      <c r="R193" s="89"/>
      <c r="S193" s="89"/>
    </row>
    <row r="194" spans="1:19" ht="47.25" x14ac:dyDescent="0.25">
      <c r="A194" s="62" t="s">
        <v>245</v>
      </c>
      <c r="B194" s="10">
        <v>302119</v>
      </c>
      <c r="C194" s="1" t="s">
        <v>256</v>
      </c>
      <c r="D194" s="31" t="s">
        <v>261</v>
      </c>
      <c r="E194" s="31"/>
      <c r="F194" s="18" t="s">
        <v>521</v>
      </c>
      <c r="G194" s="26" t="s">
        <v>575</v>
      </c>
      <c r="H194" s="18" t="s">
        <v>514</v>
      </c>
      <c r="I194" s="17">
        <v>16</v>
      </c>
      <c r="J194" s="24" t="s">
        <v>3</v>
      </c>
      <c r="K194" s="30">
        <v>85.3</v>
      </c>
      <c r="L194" s="63">
        <v>4896000</v>
      </c>
      <c r="M194" s="89"/>
      <c r="N194" s="84" t="e">
        <f t="shared" ref="N194:N257" si="3">_xlfn.LET(
  _xlpm.y,VALUE(RIGHT(M194,4)),
  _xlpm.m,VALUE(MID(M194,4,2)),
  _xlpm.d,VALUE(LEFT(M194,2)),
  _xlpm.doy,IF(_xlpm.m&lt;=6,(_xlpm.m-1)*31+_xlpm.d,186+(_xlpm.m-7)*30+_xlpm.d),
  _xlpm.jdn,1948320+(_xlpm.y-1)*365+INT(((_xlpm.y-1)*8+21)/33)+_xlpm.doy,
  _xlpm.jdn-2415020
)</f>
        <v>#VALUE!</v>
      </c>
      <c r="O194" s="65"/>
      <c r="P194" s="65"/>
      <c r="Q194" s="65"/>
      <c r="R194" s="89"/>
      <c r="S194" s="89"/>
    </row>
    <row r="195" spans="1:19" ht="47.25" x14ac:dyDescent="0.25">
      <c r="A195" s="62" t="s">
        <v>247</v>
      </c>
      <c r="B195" s="10">
        <v>302119</v>
      </c>
      <c r="C195" s="1" t="s">
        <v>256</v>
      </c>
      <c r="D195" s="32" t="s">
        <v>263</v>
      </c>
      <c r="E195" s="32"/>
      <c r="F195" s="18" t="s">
        <v>521</v>
      </c>
      <c r="G195" s="26" t="s">
        <v>576</v>
      </c>
      <c r="H195" s="18" t="s">
        <v>514</v>
      </c>
      <c r="I195" s="17">
        <v>25</v>
      </c>
      <c r="J195" s="24" t="s">
        <v>3</v>
      </c>
      <c r="K195" s="30">
        <v>83</v>
      </c>
      <c r="L195" s="63">
        <v>2289000</v>
      </c>
      <c r="M195" s="89"/>
      <c r="N195" s="84" t="e">
        <f t="shared" si="3"/>
        <v>#VALUE!</v>
      </c>
      <c r="O195" s="65"/>
      <c r="P195" s="65"/>
      <c r="Q195" s="65"/>
      <c r="R195" s="89"/>
      <c r="S195" s="89"/>
    </row>
    <row r="196" spans="1:19" ht="47.25" x14ac:dyDescent="0.25">
      <c r="A196" s="62" t="s">
        <v>249</v>
      </c>
      <c r="B196" s="10">
        <v>302119</v>
      </c>
      <c r="C196" s="1" t="s">
        <v>256</v>
      </c>
      <c r="D196" s="32" t="s">
        <v>265</v>
      </c>
      <c r="E196" s="32"/>
      <c r="F196" s="18" t="s">
        <v>521</v>
      </c>
      <c r="G196" s="26" t="s">
        <v>577</v>
      </c>
      <c r="H196" s="18" t="s">
        <v>514</v>
      </c>
      <c r="I196" s="17">
        <v>13</v>
      </c>
      <c r="J196" s="24" t="s">
        <v>3</v>
      </c>
      <c r="K196" s="30">
        <v>94</v>
      </c>
      <c r="L196" s="63">
        <v>2166000</v>
      </c>
      <c r="M196" s="89"/>
      <c r="N196" s="84" t="e">
        <f t="shared" si="3"/>
        <v>#VALUE!</v>
      </c>
      <c r="O196" s="65"/>
      <c r="P196" s="65"/>
      <c r="Q196" s="65"/>
      <c r="R196" s="89"/>
      <c r="S196" s="89"/>
    </row>
    <row r="197" spans="1:19" ht="47.25" x14ac:dyDescent="0.25">
      <c r="A197" s="62" t="s">
        <v>251</v>
      </c>
      <c r="B197" s="10">
        <v>302119</v>
      </c>
      <c r="C197" s="1" t="s">
        <v>256</v>
      </c>
      <c r="D197" s="32" t="s">
        <v>267</v>
      </c>
      <c r="E197" s="32"/>
      <c r="F197" s="18" t="s">
        <v>521</v>
      </c>
      <c r="G197" s="26" t="s">
        <v>578</v>
      </c>
      <c r="H197" s="18" t="s">
        <v>514</v>
      </c>
      <c r="I197" s="17">
        <v>10</v>
      </c>
      <c r="J197" s="24" t="s">
        <v>3</v>
      </c>
      <c r="K197" s="30">
        <v>85</v>
      </c>
      <c r="L197" s="63">
        <v>2812000</v>
      </c>
      <c r="M197" s="89"/>
      <c r="N197" s="84" t="e">
        <f t="shared" si="3"/>
        <v>#VALUE!</v>
      </c>
      <c r="O197" s="65"/>
      <c r="P197" s="65"/>
      <c r="Q197" s="65"/>
      <c r="R197" s="89"/>
      <c r="S197" s="89"/>
    </row>
    <row r="198" spans="1:19" ht="47.25" x14ac:dyDescent="0.25">
      <c r="A198" s="62" t="s">
        <v>253</v>
      </c>
      <c r="B198" s="10">
        <v>302119</v>
      </c>
      <c r="C198" s="1" t="s">
        <v>256</v>
      </c>
      <c r="D198" s="32" t="s">
        <v>269</v>
      </c>
      <c r="E198" s="32"/>
      <c r="F198" s="18" t="s">
        <v>521</v>
      </c>
      <c r="G198" s="26" t="s">
        <v>579</v>
      </c>
      <c r="H198" s="18" t="s">
        <v>514</v>
      </c>
      <c r="I198" s="17">
        <v>10</v>
      </c>
      <c r="J198" s="24" t="s">
        <v>3</v>
      </c>
      <c r="K198" s="30">
        <v>97.65</v>
      </c>
      <c r="L198" s="63">
        <v>3223000</v>
      </c>
      <c r="M198" s="89"/>
      <c r="N198" s="84" t="e">
        <f t="shared" si="3"/>
        <v>#VALUE!</v>
      </c>
      <c r="O198" s="65"/>
      <c r="P198" s="65"/>
      <c r="Q198" s="65"/>
      <c r="R198" s="89"/>
      <c r="S198" s="89"/>
    </row>
    <row r="199" spans="1:19" ht="47.25" x14ac:dyDescent="0.25">
      <c r="A199" s="62" t="s">
        <v>255</v>
      </c>
      <c r="B199" s="10">
        <v>302119</v>
      </c>
      <c r="C199" s="1" t="s">
        <v>256</v>
      </c>
      <c r="D199" s="32" t="s">
        <v>271</v>
      </c>
      <c r="E199" s="32"/>
      <c r="F199" s="18" t="s">
        <v>521</v>
      </c>
      <c r="G199" s="26" t="s">
        <v>580</v>
      </c>
      <c r="H199" s="18" t="s">
        <v>514</v>
      </c>
      <c r="I199" s="17">
        <v>10</v>
      </c>
      <c r="J199" s="24" t="s">
        <v>3</v>
      </c>
      <c r="K199" s="30">
        <v>95.59</v>
      </c>
      <c r="L199" s="63">
        <v>3160000</v>
      </c>
      <c r="M199" s="89"/>
      <c r="N199" s="84" t="e">
        <f t="shared" si="3"/>
        <v>#VALUE!</v>
      </c>
      <c r="O199" s="65"/>
      <c r="P199" s="65"/>
      <c r="Q199" s="65"/>
      <c r="R199" s="89"/>
      <c r="S199" s="89"/>
    </row>
    <row r="200" spans="1:19" ht="47.25" x14ac:dyDescent="0.25">
      <c r="A200" s="62" t="s">
        <v>258</v>
      </c>
      <c r="B200" s="10">
        <v>302119</v>
      </c>
      <c r="C200" s="1" t="s">
        <v>256</v>
      </c>
      <c r="D200" s="32" t="s">
        <v>273</v>
      </c>
      <c r="E200" s="32"/>
      <c r="F200" s="18" t="s">
        <v>521</v>
      </c>
      <c r="G200" s="26" t="s">
        <v>581</v>
      </c>
      <c r="H200" s="18" t="s">
        <v>514</v>
      </c>
      <c r="I200" s="17">
        <v>10</v>
      </c>
      <c r="J200" s="24" t="s">
        <v>3</v>
      </c>
      <c r="K200" s="30">
        <v>97.53</v>
      </c>
      <c r="L200" s="63">
        <v>3230000</v>
      </c>
      <c r="M200" s="89"/>
      <c r="N200" s="84" t="e">
        <f t="shared" si="3"/>
        <v>#VALUE!</v>
      </c>
      <c r="O200" s="65"/>
      <c r="P200" s="65"/>
      <c r="Q200" s="65"/>
      <c r="R200" s="89"/>
      <c r="S200" s="89"/>
    </row>
    <row r="201" spans="1:19" ht="47.25" x14ac:dyDescent="0.25">
      <c r="A201" s="62" t="s">
        <v>260</v>
      </c>
      <c r="B201" s="10">
        <v>302119</v>
      </c>
      <c r="C201" s="1" t="s">
        <v>256</v>
      </c>
      <c r="D201" s="32" t="s">
        <v>275</v>
      </c>
      <c r="E201" s="32"/>
      <c r="F201" s="18" t="s">
        <v>521</v>
      </c>
      <c r="G201" s="26" t="s">
        <v>581</v>
      </c>
      <c r="H201" s="18" t="s">
        <v>514</v>
      </c>
      <c r="I201" s="17">
        <v>10</v>
      </c>
      <c r="J201" s="24" t="s">
        <v>3</v>
      </c>
      <c r="K201" s="30">
        <v>95.47</v>
      </c>
      <c r="L201" s="63">
        <v>3157000</v>
      </c>
      <c r="M201" s="89"/>
      <c r="N201" s="84" t="e">
        <f t="shared" si="3"/>
        <v>#VALUE!</v>
      </c>
      <c r="O201" s="65"/>
      <c r="P201" s="65"/>
      <c r="Q201" s="65"/>
      <c r="R201" s="89"/>
      <c r="S201" s="89"/>
    </row>
    <row r="202" spans="1:19" ht="47.25" x14ac:dyDescent="0.25">
      <c r="A202" s="62" t="s">
        <v>262</v>
      </c>
      <c r="B202" s="10">
        <v>302119</v>
      </c>
      <c r="C202" s="1" t="s">
        <v>256</v>
      </c>
      <c r="D202" s="32" t="s">
        <v>277</v>
      </c>
      <c r="E202" s="32"/>
      <c r="F202" s="18" t="s">
        <v>521</v>
      </c>
      <c r="G202" s="26" t="s">
        <v>582</v>
      </c>
      <c r="H202" s="18" t="s">
        <v>514</v>
      </c>
      <c r="I202" s="17">
        <v>10</v>
      </c>
      <c r="J202" s="24" t="s">
        <v>3</v>
      </c>
      <c r="K202" s="30">
        <v>97.41</v>
      </c>
      <c r="L202" s="63">
        <v>3219000</v>
      </c>
      <c r="M202" s="89"/>
      <c r="N202" s="84" t="e">
        <f t="shared" si="3"/>
        <v>#VALUE!</v>
      </c>
      <c r="O202" s="65"/>
      <c r="P202" s="65"/>
      <c r="Q202" s="65"/>
      <c r="R202" s="89"/>
      <c r="S202" s="89"/>
    </row>
    <row r="203" spans="1:19" ht="47.25" x14ac:dyDescent="0.25">
      <c r="A203" s="62" t="s">
        <v>264</v>
      </c>
      <c r="B203" s="10">
        <v>302119</v>
      </c>
      <c r="C203" s="1" t="s">
        <v>256</v>
      </c>
      <c r="D203" s="32" t="s">
        <v>279</v>
      </c>
      <c r="E203" s="32"/>
      <c r="F203" s="18" t="s">
        <v>521</v>
      </c>
      <c r="G203" s="26" t="s">
        <v>582</v>
      </c>
      <c r="H203" s="18" t="s">
        <v>514</v>
      </c>
      <c r="I203" s="17">
        <v>10</v>
      </c>
      <c r="J203" s="24" t="s">
        <v>3</v>
      </c>
      <c r="K203" s="30">
        <v>95</v>
      </c>
      <c r="L203" s="63">
        <v>3147000</v>
      </c>
      <c r="M203" s="89"/>
      <c r="N203" s="84" t="e">
        <f t="shared" si="3"/>
        <v>#VALUE!</v>
      </c>
      <c r="O203" s="65"/>
      <c r="P203" s="65"/>
      <c r="Q203" s="65"/>
      <c r="R203" s="89"/>
      <c r="S203" s="89"/>
    </row>
    <row r="204" spans="1:19" ht="47.25" x14ac:dyDescent="0.25">
      <c r="A204" s="62" t="s">
        <v>266</v>
      </c>
      <c r="B204" s="10">
        <v>302119</v>
      </c>
      <c r="C204" s="1" t="s">
        <v>256</v>
      </c>
      <c r="D204" s="32" t="s">
        <v>281</v>
      </c>
      <c r="E204" s="32"/>
      <c r="F204" s="18" t="s">
        <v>521</v>
      </c>
      <c r="G204" s="26" t="s">
        <v>576</v>
      </c>
      <c r="H204" s="18" t="s">
        <v>514</v>
      </c>
      <c r="I204" s="17">
        <v>10</v>
      </c>
      <c r="J204" s="24" t="s">
        <v>3</v>
      </c>
      <c r="K204" s="30">
        <v>97.29</v>
      </c>
      <c r="L204" s="63">
        <v>3215000</v>
      </c>
      <c r="M204" s="89"/>
      <c r="N204" s="84" t="e">
        <f t="shared" si="3"/>
        <v>#VALUE!</v>
      </c>
      <c r="O204" s="65"/>
      <c r="P204" s="65"/>
      <c r="Q204" s="65"/>
      <c r="R204" s="89"/>
      <c r="S204" s="89"/>
    </row>
    <row r="205" spans="1:19" ht="47.25" x14ac:dyDescent="0.25">
      <c r="A205" s="62" t="s">
        <v>268</v>
      </c>
      <c r="B205" s="10">
        <v>302119</v>
      </c>
      <c r="C205" s="1" t="s">
        <v>256</v>
      </c>
      <c r="D205" s="32" t="s">
        <v>283</v>
      </c>
      <c r="E205" s="32"/>
      <c r="F205" s="18" t="s">
        <v>521</v>
      </c>
      <c r="G205" s="26" t="s">
        <v>580</v>
      </c>
      <c r="H205" s="18" t="s">
        <v>514</v>
      </c>
      <c r="I205" s="17">
        <v>10</v>
      </c>
      <c r="J205" s="24" t="s">
        <v>3</v>
      </c>
      <c r="K205" s="30">
        <v>95.23</v>
      </c>
      <c r="L205" s="63">
        <v>3148000</v>
      </c>
      <c r="M205" s="89"/>
      <c r="N205" s="84" t="e">
        <f t="shared" si="3"/>
        <v>#VALUE!</v>
      </c>
      <c r="O205" s="65"/>
      <c r="P205" s="65"/>
      <c r="Q205" s="65"/>
      <c r="R205" s="89"/>
      <c r="S205" s="89"/>
    </row>
    <row r="206" spans="1:19" ht="47.25" x14ac:dyDescent="0.25">
      <c r="A206" s="62" t="s">
        <v>270</v>
      </c>
      <c r="B206" s="10">
        <v>302119</v>
      </c>
      <c r="C206" s="1" t="s">
        <v>256</v>
      </c>
      <c r="D206" s="32" t="s">
        <v>285</v>
      </c>
      <c r="E206" s="32"/>
      <c r="F206" s="18" t="s">
        <v>521</v>
      </c>
      <c r="G206" s="26" t="s">
        <v>579</v>
      </c>
      <c r="H206" s="18" t="s">
        <v>514</v>
      </c>
      <c r="I206" s="18">
        <v>10</v>
      </c>
      <c r="J206" s="24" t="s">
        <v>3</v>
      </c>
      <c r="K206" s="30">
        <v>97.17</v>
      </c>
      <c r="L206" s="63">
        <v>5701000</v>
      </c>
      <c r="M206" s="89"/>
      <c r="N206" s="84" t="e">
        <f t="shared" si="3"/>
        <v>#VALUE!</v>
      </c>
      <c r="O206" s="65"/>
      <c r="P206" s="65"/>
      <c r="Q206" s="65"/>
      <c r="R206" s="89"/>
      <c r="S206" s="89"/>
    </row>
    <row r="207" spans="1:19" ht="47.25" x14ac:dyDescent="0.25">
      <c r="A207" s="62" t="s">
        <v>272</v>
      </c>
      <c r="B207" s="10">
        <v>302119</v>
      </c>
      <c r="C207" s="1" t="s">
        <v>256</v>
      </c>
      <c r="D207" s="32" t="s">
        <v>287</v>
      </c>
      <c r="E207" s="32"/>
      <c r="F207" s="18" t="s">
        <v>521</v>
      </c>
      <c r="G207" s="26" t="s">
        <v>583</v>
      </c>
      <c r="H207" s="18" t="s">
        <v>514</v>
      </c>
      <c r="I207" s="17">
        <v>16</v>
      </c>
      <c r="J207" s="24" t="s">
        <v>3</v>
      </c>
      <c r="K207" s="30">
        <v>58.01</v>
      </c>
      <c r="L207" s="63">
        <v>1602000</v>
      </c>
      <c r="M207" s="89"/>
      <c r="N207" s="84" t="e">
        <f t="shared" si="3"/>
        <v>#VALUE!</v>
      </c>
      <c r="O207" s="65"/>
      <c r="P207" s="65"/>
      <c r="Q207" s="65"/>
      <c r="R207" s="89"/>
      <c r="S207" s="89"/>
    </row>
    <row r="208" spans="1:19" ht="47.25" x14ac:dyDescent="0.25">
      <c r="A208" s="62" t="s">
        <v>274</v>
      </c>
      <c r="B208" s="10">
        <v>302167</v>
      </c>
      <c r="C208" s="1" t="s">
        <v>289</v>
      </c>
      <c r="D208" s="17" t="s">
        <v>290</v>
      </c>
      <c r="E208" s="17"/>
      <c r="F208" s="18" t="s">
        <v>521</v>
      </c>
      <c r="G208" s="26" t="s">
        <v>584</v>
      </c>
      <c r="H208" s="18" t="s">
        <v>514</v>
      </c>
      <c r="I208" s="17">
        <v>19</v>
      </c>
      <c r="J208" s="24" t="s">
        <v>3</v>
      </c>
      <c r="K208" s="30">
        <v>64</v>
      </c>
      <c r="L208" s="63">
        <v>3878000</v>
      </c>
      <c r="M208" s="89"/>
      <c r="N208" s="84" t="e">
        <f t="shared" si="3"/>
        <v>#VALUE!</v>
      </c>
      <c r="O208" s="65"/>
      <c r="P208" s="65"/>
      <c r="Q208" s="65"/>
      <c r="R208" s="89"/>
      <c r="S208" s="89"/>
    </row>
    <row r="209" spans="1:19" ht="47.25" x14ac:dyDescent="0.25">
      <c r="A209" s="62" t="s">
        <v>276</v>
      </c>
      <c r="B209" s="10">
        <v>302167</v>
      </c>
      <c r="C209" s="1" t="s">
        <v>289</v>
      </c>
      <c r="D209" s="17" t="s">
        <v>292</v>
      </c>
      <c r="E209" s="17"/>
      <c r="F209" s="18" t="s">
        <v>521</v>
      </c>
      <c r="G209" s="26" t="s">
        <v>585</v>
      </c>
      <c r="H209" s="18" t="s">
        <v>514</v>
      </c>
      <c r="I209" s="17">
        <v>10</v>
      </c>
      <c r="J209" s="24" t="s">
        <v>3</v>
      </c>
      <c r="K209" s="30">
        <v>65</v>
      </c>
      <c r="L209" s="63">
        <v>4202000</v>
      </c>
      <c r="M209" s="89"/>
      <c r="N209" s="84" t="e">
        <f t="shared" si="3"/>
        <v>#VALUE!</v>
      </c>
      <c r="O209" s="65"/>
      <c r="P209" s="65"/>
      <c r="Q209" s="65"/>
      <c r="R209" s="89"/>
      <c r="S209" s="89"/>
    </row>
    <row r="210" spans="1:19" ht="63" x14ac:dyDescent="0.25">
      <c r="A210" s="62" t="s">
        <v>278</v>
      </c>
      <c r="B210" s="6">
        <v>302200</v>
      </c>
      <c r="C210" s="1" t="s">
        <v>235</v>
      </c>
      <c r="D210" s="17" t="s">
        <v>236</v>
      </c>
      <c r="E210" s="17"/>
      <c r="F210" s="18" t="s">
        <v>521</v>
      </c>
      <c r="G210" s="26" t="s">
        <v>567</v>
      </c>
      <c r="H210" s="18" t="s">
        <v>514</v>
      </c>
      <c r="I210" s="17">
        <v>19</v>
      </c>
      <c r="J210" s="30" t="s">
        <v>3</v>
      </c>
      <c r="K210" s="30">
        <v>145.19999999999999</v>
      </c>
      <c r="L210" s="63">
        <v>4212000</v>
      </c>
      <c r="M210" s="89"/>
      <c r="N210" s="84" t="e">
        <f t="shared" si="3"/>
        <v>#VALUE!</v>
      </c>
      <c r="O210" s="65"/>
      <c r="P210" s="65"/>
      <c r="Q210" s="65"/>
      <c r="R210" s="89"/>
      <c r="S210" s="89"/>
    </row>
    <row r="211" spans="1:19" ht="63" x14ac:dyDescent="0.25">
      <c r="A211" s="62" t="s">
        <v>280</v>
      </c>
      <c r="B211" s="10">
        <v>302348</v>
      </c>
      <c r="C211" s="1" t="s">
        <v>294</v>
      </c>
      <c r="D211" s="17" t="s">
        <v>295</v>
      </c>
      <c r="E211" s="17"/>
      <c r="F211" s="18" t="s">
        <v>521</v>
      </c>
      <c r="G211" s="26" t="s">
        <v>586</v>
      </c>
      <c r="H211" s="18" t="s">
        <v>514</v>
      </c>
      <c r="I211" s="17">
        <v>33</v>
      </c>
      <c r="J211" s="24" t="s">
        <v>3</v>
      </c>
      <c r="K211" s="30">
        <v>116.4</v>
      </c>
      <c r="L211" s="63">
        <v>4503000</v>
      </c>
      <c r="M211" s="89"/>
      <c r="N211" s="84" t="e">
        <f t="shared" si="3"/>
        <v>#VALUE!</v>
      </c>
      <c r="O211" s="65"/>
      <c r="P211" s="65"/>
      <c r="Q211" s="65"/>
      <c r="R211" s="89"/>
      <c r="S211" s="89"/>
    </row>
    <row r="212" spans="1:19" ht="63" x14ac:dyDescent="0.25">
      <c r="A212" s="62" t="s">
        <v>282</v>
      </c>
      <c r="B212" s="10">
        <v>302348</v>
      </c>
      <c r="C212" s="1" t="s">
        <v>294</v>
      </c>
      <c r="D212" s="17" t="s">
        <v>297</v>
      </c>
      <c r="E212" s="17"/>
      <c r="F212" s="18" t="s">
        <v>521</v>
      </c>
      <c r="G212" s="26" t="s">
        <v>587</v>
      </c>
      <c r="H212" s="25" t="s">
        <v>514</v>
      </c>
      <c r="I212" s="17">
        <v>32</v>
      </c>
      <c r="J212" s="24" t="s">
        <v>3</v>
      </c>
      <c r="K212" s="30">
        <v>105.38</v>
      </c>
      <c r="L212" s="63">
        <v>4385000</v>
      </c>
      <c r="M212" s="89"/>
      <c r="N212" s="84" t="e">
        <f t="shared" si="3"/>
        <v>#VALUE!</v>
      </c>
      <c r="O212" s="65"/>
      <c r="P212" s="65"/>
      <c r="Q212" s="65"/>
      <c r="R212" s="89"/>
      <c r="S212" s="89"/>
    </row>
    <row r="213" spans="1:19" ht="47.25" x14ac:dyDescent="0.25">
      <c r="A213" s="62" t="s">
        <v>891</v>
      </c>
      <c r="B213" s="28">
        <v>302363</v>
      </c>
      <c r="C213" s="77" t="s">
        <v>409</v>
      </c>
      <c r="D213" s="3" t="s">
        <v>411</v>
      </c>
      <c r="E213" s="3"/>
      <c r="F213" s="39" t="s">
        <v>648</v>
      </c>
      <c r="G213" s="26" t="s">
        <v>591</v>
      </c>
      <c r="H213" s="28" t="s">
        <v>514</v>
      </c>
      <c r="I213" s="65"/>
      <c r="J213" s="66"/>
      <c r="K213" s="28">
        <v>96</v>
      </c>
      <c r="L213" s="67">
        <v>1570000</v>
      </c>
      <c r="M213" s="89"/>
      <c r="N213" s="84" t="e">
        <f t="shared" si="3"/>
        <v>#VALUE!</v>
      </c>
      <c r="O213" s="65"/>
      <c r="P213" s="65"/>
      <c r="Q213" s="65"/>
      <c r="R213" s="89"/>
      <c r="S213" s="89"/>
    </row>
    <row r="214" spans="1:19" ht="47.25" x14ac:dyDescent="0.25">
      <c r="A214" s="62" t="s">
        <v>892</v>
      </c>
      <c r="B214" s="28">
        <v>302363</v>
      </c>
      <c r="C214" s="77" t="s">
        <v>409</v>
      </c>
      <c r="D214" s="3" t="s">
        <v>412</v>
      </c>
      <c r="E214" s="3"/>
      <c r="F214" s="39" t="s">
        <v>648</v>
      </c>
      <c r="G214" s="26" t="s">
        <v>592</v>
      </c>
      <c r="H214" s="28" t="s">
        <v>514</v>
      </c>
      <c r="I214" s="65"/>
      <c r="J214" s="66"/>
      <c r="K214" s="28">
        <v>70</v>
      </c>
      <c r="L214" s="67">
        <v>1100000</v>
      </c>
      <c r="M214" s="89"/>
      <c r="N214" s="84" t="e">
        <f t="shared" si="3"/>
        <v>#VALUE!</v>
      </c>
      <c r="O214" s="65"/>
      <c r="P214" s="65"/>
      <c r="Q214" s="65"/>
      <c r="R214" s="89"/>
      <c r="S214" s="89"/>
    </row>
    <row r="215" spans="1:19" ht="47.25" x14ac:dyDescent="0.25">
      <c r="A215" s="62" t="s">
        <v>893</v>
      </c>
      <c r="B215" s="28">
        <v>302363</v>
      </c>
      <c r="C215" s="77" t="s">
        <v>409</v>
      </c>
      <c r="D215" s="3" t="s">
        <v>410</v>
      </c>
      <c r="E215" s="3"/>
      <c r="F215" s="39" t="s">
        <v>648</v>
      </c>
      <c r="G215" s="26" t="s">
        <v>593</v>
      </c>
      <c r="H215" s="28" t="s">
        <v>514</v>
      </c>
      <c r="I215" s="65"/>
      <c r="J215" s="66"/>
      <c r="K215" s="28">
        <v>95</v>
      </c>
      <c r="L215" s="67">
        <v>1450000</v>
      </c>
      <c r="M215" s="89"/>
      <c r="N215" s="84" t="e">
        <f t="shared" si="3"/>
        <v>#VALUE!</v>
      </c>
      <c r="O215" s="65"/>
      <c r="P215" s="65"/>
      <c r="Q215" s="65"/>
      <c r="R215" s="89"/>
      <c r="S215" s="89"/>
    </row>
    <row r="216" spans="1:19" ht="47.25" x14ac:dyDescent="0.25">
      <c r="A216" s="62" t="s">
        <v>894</v>
      </c>
      <c r="B216" s="28">
        <v>302536</v>
      </c>
      <c r="C216" s="77" t="s">
        <v>420</v>
      </c>
      <c r="D216" s="28" t="s">
        <v>421</v>
      </c>
      <c r="E216" s="28"/>
      <c r="F216" s="39" t="s">
        <v>520</v>
      </c>
      <c r="G216" s="26" t="s">
        <v>659</v>
      </c>
      <c r="H216" s="28" t="s">
        <v>514</v>
      </c>
      <c r="I216" s="65"/>
      <c r="J216" s="66"/>
      <c r="K216" s="28">
        <v>291</v>
      </c>
      <c r="L216" s="67">
        <v>0</v>
      </c>
      <c r="M216" s="89"/>
      <c r="N216" s="84" t="e">
        <f t="shared" si="3"/>
        <v>#VALUE!</v>
      </c>
      <c r="O216" s="65"/>
      <c r="P216" s="65"/>
      <c r="Q216" s="65"/>
      <c r="R216" s="89"/>
      <c r="S216" s="89"/>
    </row>
    <row r="217" spans="1:19" ht="63" x14ac:dyDescent="0.25">
      <c r="A217" s="62" t="s">
        <v>895</v>
      </c>
      <c r="B217" s="17">
        <v>302852</v>
      </c>
      <c r="C217" s="78" t="s">
        <v>413</v>
      </c>
      <c r="D217" s="3" t="s">
        <v>458</v>
      </c>
      <c r="E217" s="3"/>
      <c r="F217" s="39" t="s">
        <v>520</v>
      </c>
      <c r="G217" s="26" t="s">
        <v>660</v>
      </c>
      <c r="H217" s="28" t="s">
        <v>514</v>
      </c>
      <c r="I217" s="65"/>
      <c r="J217" s="66"/>
      <c r="K217" s="28">
        <v>136</v>
      </c>
      <c r="L217" s="67">
        <v>1155000</v>
      </c>
      <c r="M217" s="89"/>
      <c r="N217" s="84" t="e">
        <f t="shared" si="3"/>
        <v>#VALUE!</v>
      </c>
      <c r="O217" s="65"/>
      <c r="P217" s="65"/>
      <c r="Q217" s="65"/>
      <c r="R217" s="89"/>
      <c r="S217" s="89"/>
    </row>
    <row r="218" spans="1:19" ht="47.25" x14ac:dyDescent="0.25">
      <c r="A218" s="62" t="s">
        <v>896</v>
      </c>
      <c r="B218" s="28">
        <v>302997</v>
      </c>
      <c r="C218" s="77" t="s">
        <v>416</v>
      </c>
      <c r="D218" s="28" t="s">
        <v>417</v>
      </c>
      <c r="E218" s="28"/>
      <c r="F218" s="39" t="s">
        <v>520</v>
      </c>
      <c r="G218" s="26" t="s">
        <v>595</v>
      </c>
      <c r="H218" s="28" t="s">
        <v>514</v>
      </c>
      <c r="I218" s="65"/>
      <c r="J218" s="66"/>
      <c r="K218" s="28">
        <v>117</v>
      </c>
      <c r="L218" s="67">
        <v>135000</v>
      </c>
      <c r="M218" s="89"/>
      <c r="N218" s="84" t="e">
        <f t="shared" si="3"/>
        <v>#VALUE!</v>
      </c>
      <c r="O218" s="65"/>
      <c r="P218" s="65"/>
      <c r="Q218" s="65"/>
      <c r="R218" s="89"/>
      <c r="S218" s="89"/>
    </row>
    <row r="219" spans="1:19" ht="94.5" x14ac:dyDescent="0.25">
      <c r="A219" s="62" t="s">
        <v>897</v>
      </c>
      <c r="B219" s="28">
        <v>322910</v>
      </c>
      <c r="C219" s="79" t="s">
        <v>414</v>
      </c>
      <c r="D219" s="26" t="s">
        <v>415</v>
      </c>
      <c r="E219" s="26"/>
      <c r="F219" s="39" t="s">
        <v>594</v>
      </c>
      <c r="G219" s="26" t="s">
        <v>809</v>
      </c>
      <c r="H219" s="28" t="s">
        <v>532</v>
      </c>
      <c r="I219" s="65"/>
      <c r="J219" s="66"/>
      <c r="K219" s="28">
        <v>300</v>
      </c>
      <c r="L219" s="67">
        <v>1570000</v>
      </c>
      <c r="M219" s="89"/>
      <c r="N219" s="84" t="e">
        <f t="shared" si="3"/>
        <v>#VALUE!</v>
      </c>
      <c r="O219" s="65"/>
      <c r="P219" s="65"/>
      <c r="Q219" s="65"/>
      <c r="R219" s="89"/>
      <c r="S219" s="89"/>
    </row>
    <row r="220" spans="1:19" ht="63" x14ac:dyDescent="0.25">
      <c r="A220" s="62" t="s">
        <v>898</v>
      </c>
      <c r="B220" s="26">
        <v>324039</v>
      </c>
      <c r="C220" s="79" t="s">
        <v>418</v>
      </c>
      <c r="D220" s="26" t="s">
        <v>419</v>
      </c>
      <c r="E220" s="26"/>
      <c r="F220" s="39" t="s">
        <v>594</v>
      </c>
      <c r="G220" s="26" t="s">
        <v>661</v>
      </c>
      <c r="H220" s="28" t="s">
        <v>532</v>
      </c>
      <c r="I220" s="65"/>
      <c r="J220" s="66"/>
      <c r="K220" s="28">
        <v>250</v>
      </c>
      <c r="L220" s="67">
        <v>0</v>
      </c>
      <c r="M220" s="89"/>
      <c r="N220" s="84" t="e">
        <f t="shared" si="3"/>
        <v>#VALUE!</v>
      </c>
      <c r="O220" s="65"/>
      <c r="P220" s="65"/>
      <c r="Q220" s="65"/>
      <c r="R220" s="89"/>
      <c r="S220" s="89"/>
    </row>
    <row r="221" spans="1:19" ht="63" x14ac:dyDescent="0.25">
      <c r="A221" s="62" t="s">
        <v>899</v>
      </c>
      <c r="B221" s="28">
        <v>354134</v>
      </c>
      <c r="C221" s="77" t="s">
        <v>490</v>
      </c>
      <c r="D221" s="28" t="s">
        <v>422</v>
      </c>
      <c r="E221" s="28"/>
      <c r="F221" s="39" t="s">
        <v>520</v>
      </c>
      <c r="G221" s="26" t="s">
        <v>662</v>
      </c>
      <c r="H221" s="28" t="s">
        <v>513</v>
      </c>
      <c r="I221" s="65"/>
      <c r="J221" s="66"/>
      <c r="K221" s="28">
        <v>182</v>
      </c>
      <c r="L221" s="67">
        <v>2039000</v>
      </c>
      <c r="M221" s="89"/>
      <c r="N221" s="84" t="e">
        <f t="shared" si="3"/>
        <v>#VALUE!</v>
      </c>
      <c r="O221" s="65"/>
      <c r="P221" s="65"/>
      <c r="Q221" s="65"/>
      <c r="R221" s="89"/>
      <c r="S221" s="89"/>
    </row>
    <row r="222" spans="1:19" ht="94.5" x14ac:dyDescent="0.25">
      <c r="A222" s="62" t="s">
        <v>900</v>
      </c>
      <c r="B222" s="17">
        <v>354213</v>
      </c>
      <c r="C222" s="79" t="s">
        <v>424</v>
      </c>
      <c r="D222" s="26" t="s">
        <v>425</v>
      </c>
      <c r="E222" s="26"/>
      <c r="F222" s="39" t="s">
        <v>520</v>
      </c>
      <c r="G222" s="26" t="s">
        <v>669</v>
      </c>
      <c r="H222" s="28" t="s">
        <v>514</v>
      </c>
      <c r="I222" s="65"/>
      <c r="J222" s="66"/>
      <c r="K222" s="28">
        <v>136</v>
      </c>
      <c r="L222" s="67">
        <v>0</v>
      </c>
      <c r="M222" s="89"/>
      <c r="N222" s="84" t="e">
        <f t="shared" si="3"/>
        <v>#VALUE!</v>
      </c>
      <c r="O222" s="65"/>
      <c r="P222" s="65"/>
      <c r="Q222" s="65"/>
      <c r="R222" s="89"/>
      <c r="S222" s="89"/>
    </row>
    <row r="223" spans="1:19" ht="47.25" x14ac:dyDescent="0.25">
      <c r="A223" s="62" t="s">
        <v>901</v>
      </c>
      <c r="B223" s="28">
        <v>354476</v>
      </c>
      <c r="C223" s="77" t="s">
        <v>491</v>
      </c>
      <c r="D223" s="28" t="s">
        <v>423</v>
      </c>
      <c r="E223" s="28"/>
      <c r="F223" s="39" t="s">
        <v>528</v>
      </c>
      <c r="G223" s="26" t="s">
        <v>663</v>
      </c>
      <c r="H223" s="28" t="s">
        <v>514</v>
      </c>
      <c r="I223" s="65"/>
      <c r="J223" s="66"/>
      <c r="K223" s="28">
        <v>205</v>
      </c>
      <c r="L223" s="67">
        <v>2222000</v>
      </c>
      <c r="M223" s="89"/>
      <c r="N223" s="84" t="e">
        <f t="shared" si="3"/>
        <v>#VALUE!</v>
      </c>
      <c r="O223" s="65"/>
      <c r="P223" s="65"/>
      <c r="Q223" s="65"/>
      <c r="R223" s="89"/>
      <c r="S223" s="89"/>
    </row>
    <row r="224" spans="1:19" ht="78.75" x14ac:dyDescent="0.25">
      <c r="A224" s="62" t="s">
        <v>902</v>
      </c>
      <c r="B224" s="5">
        <v>451607</v>
      </c>
      <c r="C224" s="80" t="s">
        <v>456</v>
      </c>
      <c r="D224" s="5" t="s">
        <v>457</v>
      </c>
      <c r="E224" s="5"/>
      <c r="F224" s="39" t="s">
        <v>520</v>
      </c>
      <c r="G224" s="26" t="s">
        <v>665</v>
      </c>
      <c r="H224" s="41" t="s">
        <v>514</v>
      </c>
      <c r="I224" s="65"/>
      <c r="J224" s="66"/>
      <c r="K224" s="41">
        <v>181</v>
      </c>
      <c r="L224" s="67">
        <v>615000</v>
      </c>
      <c r="M224" s="89"/>
      <c r="N224" s="84" t="e">
        <f t="shared" si="3"/>
        <v>#VALUE!</v>
      </c>
      <c r="O224" s="65"/>
      <c r="P224" s="65"/>
      <c r="Q224" s="65"/>
      <c r="R224" s="89"/>
      <c r="S224" s="89"/>
    </row>
    <row r="225" spans="1:19" ht="47.25" x14ac:dyDescent="0.25">
      <c r="A225" s="62" t="s">
        <v>284</v>
      </c>
      <c r="B225" s="6">
        <v>451607</v>
      </c>
      <c r="C225" s="1" t="s">
        <v>333</v>
      </c>
      <c r="D225" s="17" t="s">
        <v>334</v>
      </c>
      <c r="E225" s="17"/>
      <c r="F225" s="18" t="s">
        <v>521</v>
      </c>
      <c r="G225" s="26" t="s">
        <v>666</v>
      </c>
      <c r="H225" s="18" t="s">
        <v>514</v>
      </c>
      <c r="I225" s="19" t="s">
        <v>3</v>
      </c>
      <c r="J225" s="33" t="s">
        <v>3</v>
      </c>
      <c r="K225" s="33">
        <v>172</v>
      </c>
      <c r="L225" s="63">
        <v>1077000</v>
      </c>
      <c r="M225" s="89"/>
      <c r="N225" s="84" t="e">
        <f t="shared" si="3"/>
        <v>#VALUE!</v>
      </c>
      <c r="O225" s="65"/>
      <c r="P225" s="65"/>
      <c r="Q225" s="65"/>
      <c r="R225" s="89"/>
      <c r="S225" s="89"/>
    </row>
    <row r="226" spans="1:19" ht="63" x14ac:dyDescent="0.25">
      <c r="A226" s="62" t="s">
        <v>903</v>
      </c>
      <c r="B226" s="5">
        <v>451630</v>
      </c>
      <c r="C226" s="80" t="s">
        <v>445</v>
      </c>
      <c r="D226" s="5" t="s">
        <v>444</v>
      </c>
      <c r="E226" s="5"/>
      <c r="F226" s="39" t="s">
        <v>520</v>
      </c>
      <c r="G226" s="26" t="s">
        <v>667</v>
      </c>
      <c r="H226" s="41" t="s">
        <v>513</v>
      </c>
      <c r="I226" s="65"/>
      <c r="J226" s="66"/>
      <c r="K226" s="41">
        <v>169</v>
      </c>
      <c r="L226" s="67">
        <v>476000</v>
      </c>
      <c r="M226" s="89"/>
      <c r="N226" s="84" t="e">
        <f t="shared" si="3"/>
        <v>#VALUE!</v>
      </c>
      <c r="O226" s="65"/>
      <c r="P226" s="65"/>
      <c r="Q226" s="65"/>
      <c r="R226" s="89"/>
      <c r="S226" s="89"/>
    </row>
    <row r="227" spans="1:19" ht="78.75" x14ac:dyDescent="0.25">
      <c r="A227" s="62" t="s">
        <v>904</v>
      </c>
      <c r="B227" s="5">
        <v>452504</v>
      </c>
      <c r="C227" s="80" t="s">
        <v>448</v>
      </c>
      <c r="D227" s="5" t="s">
        <v>449</v>
      </c>
      <c r="E227" s="5"/>
      <c r="F227" s="39" t="s">
        <v>520</v>
      </c>
      <c r="G227" s="26" t="s">
        <v>668</v>
      </c>
      <c r="H227" s="41" t="s">
        <v>514</v>
      </c>
      <c r="I227" s="65"/>
      <c r="J227" s="66"/>
      <c r="K227" s="41">
        <v>129</v>
      </c>
      <c r="L227" s="67">
        <v>237000</v>
      </c>
      <c r="M227" s="89"/>
      <c r="N227" s="84" t="e">
        <f t="shared" si="3"/>
        <v>#VALUE!</v>
      </c>
      <c r="O227" s="65"/>
      <c r="P227" s="65"/>
      <c r="Q227" s="65"/>
      <c r="R227" s="89"/>
      <c r="S227" s="89"/>
    </row>
    <row r="228" spans="1:19" ht="63" x14ac:dyDescent="0.25">
      <c r="A228" s="62" t="s">
        <v>905</v>
      </c>
      <c r="B228" s="5">
        <v>452536</v>
      </c>
      <c r="C228" s="80" t="s">
        <v>450</v>
      </c>
      <c r="D228" s="5" t="s">
        <v>451</v>
      </c>
      <c r="E228" s="5"/>
      <c r="F228" s="39" t="s">
        <v>520</v>
      </c>
      <c r="G228" s="26" t="s">
        <v>681</v>
      </c>
      <c r="H228" s="41" t="s">
        <v>513</v>
      </c>
      <c r="I228" s="65"/>
      <c r="J228" s="66"/>
      <c r="K228" s="41">
        <v>200</v>
      </c>
      <c r="L228" s="67">
        <v>554000</v>
      </c>
      <c r="M228" s="89"/>
      <c r="N228" s="84" t="e">
        <f t="shared" si="3"/>
        <v>#VALUE!</v>
      </c>
      <c r="O228" s="65"/>
      <c r="P228" s="65"/>
      <c r="Q228" s="65"/>
      <c r="R228" s="89"/>
      <c r="S228" s="89"/>
    </row>
    <row r="229" spans="1:19" ht="78.75" x14ac:dyDescent="0.25">
      <c r="A229" s="62" t="s">
        <v>906</v>
      </c>
      <c r="B229" s="5">
        <v>452958</v>
      </c>
      <c r="C229" s="80" t="s">
        <v>454</v>
      </c>
      <c r="D229" s="5" t="s">
        <v>455</v>
      </c>
      <c r="E229" s="5"/>
      <c r="F229" s="39" t="s">
        <v>520</v>
      </c>
      <c r="G229" s="26" t="s">
        <v>682</v>
      </c>
      <c r="H229" s="41" t="s">
        <v>514</v>
      </c>
      <c r="I229" s="65"/>
      <c r="J229" s="66"/>
      <c r="K229" s="41">
        <v>126</v>
      </c>
      <c r="L229" s="67">
        <v>458000</v>
      </c>
      <c r="M229" s="89"/>
      <c r="N229" s="84" t="e">
        <f t="shared" si="3"/>
        <v>#VALUE!</v>
      </c>
      <c r="O229" s="65"/>
      <c r="P229" s="65"/>
      <c r="Q229" s="65"/>
      <c r="R229" s="89"/>
      <c r="S229" s="89"/>
    </row>
    <row r="230" spans="1:19" ht="63" x14ac:dyDescent="0.25">
      <c r="A230" s="62" t="s">
        <v>907</v>
      </c>
      <c r="B230" s="5">
        <v>453080</v>
      </c>
      <c r="C230" s="80" t="s">
        <v>452</v>
      </c>
      <c r="D230" s="5" t="s">
        <v>453</v>
      </c>
      <c r="E230" s="5"/>
      <c r="F230" s="39" t="s">
        <v>520</v>
      </c>
      <c r="G230" s="26" t="s">
        <v>683</v>
      </c>
      <c r="H230" s="41" t="s">
        <v>514</v>
      </c>
      <c r="I230" s="65"/>
      <c r="J230" s="66"/>
      <c r="K230" s="41">
        <v>135</v>
      </c>
      <c r="L230" s="67">
        <v>0</v>
      </c>
      <c r="M230" s="89"/>
      <c r="N230" s="84" t="e">
        <f t="shared" si="3"/>
        <v>#VALUE!</v>
      </c>
      <c r="O230" s="65"/>
      <c r="P230" s="65"/>
      <c r="Q230" s="65"/>
      <c r="R230" s="89"/>
      <c r="S230" s="89"/>
    </row>
    <row r="231" spans="1:19" ht="47.25" x14ac:dyDescent="0.25">
      <c r="A231" s="62" t="s">
        <v>908</v>
      </c>
      <c r="B231" s="5">
        <v>473700</v>
      </c>
      <c r="C231" s="80" t="s">
        <v>446</v>
      </c>
      <c r="D231" s="5" t="s">
        <v>447</v>
      </c>
      <c r="E231" s="5"/>
      <c r="F231" s="39" t="s">
        <v>520</v>
      </c>
      <c r="G231" s="26" t="s">
        <v>702</v>
      </c>
      <c r="H231" s="41" t="s">
        <v>514</v>
      </c>
      <c r="I231" s="65"/>
      <c r="J231" s="66"/>
      <c r="K231" s="41">
        <v>173</v>
      </c>
      <c r="L231" s="67">
        <v>276000</v>
      </c>
      <c r="M231" s="89"/>
      <c r="N231" s="84" t="e">
        <f t="shared" si="3"/>
        <v>#VALUE!</v>
      </c>
      <c r="O231" s="65"/>
      <c r="P231" s="65"/>
      <c r="Q231" s="65"/>
      <c r="R231" s="89"/>
      <c r="S231" s="89"/>
    </row>
    <row r="232" spans="1:19" ht="47.25" x14ac:dyDescent="0.25">
      <c r="A232" s="62" t="s">
        <v>909</v>
      </c>
      <c r="B232" s="50">
        <v>500034</v>
      </c>
      <c r="C232" s="77" t="s">
        <v>426</v>
      </c>
      <c r="D232" s="28" t="s">
        <v>427</v>
      </c>
      <c r="E232" s="28"/>
      <c r="F232" s="39" t="s">
        <v>655</v>
      </c>
      <c r="G232" s="28" t="s">
        <v>534</v>
      </c>
      <c r="H232" s="28" t="s">
        <v>693</v>
      </c>
      <c r="I232" s="65"/>
      <c r="J232" s="66"/>
      <c r="K232" s="28">
        <v>11321</v>
      </c>
      <c r="L232" s="67">
        <v>34930000</v>
      </c>
      <c r="M232" s="89"/>
      <c r="N232" s="84" t="e">
        <f t="shared" si="3"/>
        <v>#VALUE!</v>
      </c>
      <c r="O232" s="65"/>
      <c r="P232" s="65"/>
      <c r="Q232" s="65"/>
      <c r="R232" s="89"/>
      <c r="S232" s="89"/>
    </row>
    <row r="233" spans="1:19" ht="63" x14ac:dyDescent="0.25">
      <c r="A233" s="62" t="s">
        <v>910</v>
      </c>
      <c r="B233" s="50">
        <v>500094</v>
      </c>
      <c r="C233" s="77" t="s">
        <v>428</v>
      </c>
      <c r="D233" s="41" t="s">
        <v>485</v>
      </c>
      <c r="E233" s="41"/>
      <c r="F233" s="39" t="s">
        <v>525</v>
      </c>
      <c r="G233" s="28" t="s">
        <v>808</v>
      </c>
      <c r="H233" s="46" t="s">
        <v>513</v>
      </c>
      <c r="I233" s="65"/>
      <c r="J233" s="66"/>
      <c r="K233" s="41">
        <v>1723</v>
      </c>
      <c r="L233" s="67">
        <v>13467000</v>
      </c>
      <c r="M233" s="89"/>
      <c r="N233" s="84" t="e">
        <f t="shared" si="3"/>
        <v>#VALUE!</v>
      </c>
      <c r="O233" s="65"/>
      <c r="P233" s="65"/>
      <c r="Q233" s="65"/>
      <c r="R233" s="89"/>
      <c r="S233" s="89"/>
    </row>
    <row r="234" spans="1:19" ht="78.75" x14ac:dyDescent="0.25">
      <c r="A234" s="62" t="s">
        <v>286</v>
      </c>
      <c r="B234" s="6">
        <v>500110</v>
      </c>
      <c r="C234" s="1" t="s">
        <v>299</v>
      </c>
      <c r="D234" s="28" t="s">
        <v>300</v>
      </c>
      <c r="E234" s="28"/>
      <c r="F234" s="18" t="s">
        <v>521</v>
      </c>
      <c r="G234" s="26" t="s">
        <v>765</v>
      </c>
      <c r="H234" s="18" t="s">
        <v>514</v>
      </c>
      <c r="I234" s="17">
        <v>9</v>
      </c>
      <c r="J234" s="30" t="s">
        <v>3</v>
      </c>
      <c r="K234" s="30">
        <v>89</v>
      </c>
      <c r="L234" s="63">
        <v>1760000</v>
      </c>
      <c r="M234" s="89"/>
      <c r="N234" s="84" t="e">
        <f t="shared" si="3"/>
        <v>#VALUE!</v>
      </c>
      <c r="O234" s="65"/>
      <c r="P234" s="65"/>
      <c r="Q234" s="65"/>
      <c r="R234" s="89"/>
      <c r="S234" s="89"/>
    </row>
    <row r="235" spans="1:19" ht="126" x14ac:dyDescent="0.25">
      <c r="A235" s="62" t="s">
        <v>288</v>
      </c>
      <c r="B235" s="6">
        <v>500110</v>
      </c>
      <c r="C235" s="1" t="s">
        <v>299</v>
      </c>
      <c r="D235" s="28" t="s">
        <v>304</v>
      </c>
      <c r="E235" s="28"/>
      <c r="F235" s="18" t="s">
        <v>521</v>
      </c>
      <c r="G235" s="28" t="s">
        <v>517</v>
      </c>
      <c r="H235" s="18" t="s">
        <v>514</v>
      </c>
      <c r="I235" s="17">
        <v>9</v>
      </c>
      <c r="J235" s="30" t="s">
        <v>3</v>
      </c>
      <c r="K235" s="30">
        <v>90</v>
      </c>
      <c r="L235" s="63">
        <v>1772000</v>
      </c>
      <c r="M235" s="89"/>
      <c r="N235" s="84" t="e">
        <f t="shared" si="3"/>
        <v>#VALUE!</v>
      </c>
      <c r="O235" s="65"/>
      <c r="P235" s="65"/>
      <c r="Q235" s="65"/>
      <c r="R235" s="89"/>
      <c r="S235" s="89"/>
    </row>
    <row r="236" spans="1:19" ht="126" x14ac:dyDescent="0.25">
      <c r="A236" s="62" t="s">
        <v>291</v>
      </c>
      <c r="B236" s="6">
        <v>500110</v>
      </c>
      <c r="C236" s="1" t="s">
        <v>299</v>
      </c>
      <c r="D236" s="28" t="s">
        <v>302</v>
      </c>
      <c r="E236" s="28"/>
      <c r="F236" s="18" t="s">
        <v>521</v>
      </c>
      <c r="G236" s="28" t="s">
        <v>706</v>
      </c>
      <c r="H236" s="18" t="s">
        <v>514</v>
      </c>
      <c r="I236" s="17">
        <v>42</v>
      </c>
      <c r="J236" s="24" t="s">
        <v>3</v>
      </c>
      <c r="K236" s="30">
        <v>93</v>
      </c>
      <c r="L236" s="63">
        <v>4410000</v>
      </c>
      <c r="M236" s="89"/>
      <c r="N236" s="84" t="e">
        <f t="shared" si="3"/>
        <v>#VALUE!</v>
      </c>
      <c r="O236" s="65"/>
      <c r="P236" s="65"/>
      <c r="Q236" s="65"/>
      <c r="R236" s="89"/>
      <c r="S236" s="89"/>
    </row>
    <row r="237" spans="1:19" ht="63" x14ac:dyDescent="0.25">
      <c r="A237" s="62" t="s">
        <v>293</v>
      </c>
      <c r="B237" s="10">
        <v>500116</v>
      </c>
      <c r="C237" s="1" t="s">
        <v>312</v>
      </c>
      <c r="D237" s="17" t="s">
        <v>313</v>
      </c>
      <c r="E237" s="17"/>
      <c r="F237" s="18" t="s">
        <v>521</v>
      </c>
      <c r="G237" s="28" t="s">
        <v>536</v>
      </c>
      <c r="H237" s="18" t="s">
        <v>688</v>
      </c>
      <c r="I237" s="17">
        <v>14</v>
      </c>
      <c r="J237" s="30" t="s">
        <v>314</v>
      </c>
      <c r="K237" s="30">
        <v>4957</v>
      </c>
      <c r="L237" s="63">
        <v>193067000</v>
      </c>
      <c r="M237" s="89"/>
      <c r="N237" s="84" t="e">
        <f t="shared" si="3"/>
        <v>#VALUE!</v>
      </c>
      <c r="O237" s="65"/>
      <c r="P237" s="65"/>
      <c r="Q237" s="65"/>
      <c r="R237" s="89"/>
      <c r="S237" s="89"/>
    </row>
    <row r="238" spans="1:19" ht="47.25" x14ac:dyDescent="0.25">
      <c r="A238" s="62" t="s">
        <v>911</v>
      </c>
      <c r="B238" s="50">
        <v>500116</v>
      </c>
      <c r="C238" s="77" t="s">
        <v>312</v>
      </c>
      <c r="D238" s="28" t="s">
        <v>429</v>
      </c>
      <c r="E238" s="28"/>
      <c r="F238" s="39" t="s">
        <v>525</v>
      </c>
      <c r="G238" s="28" t="s">
        <v>535</v>
      </c>
      <c r="H238" s="46" t="s">
        <v>514</v>
      </c>
      <c r="I238" s="65"/>
      <c r="J238" s="66"/>
      <c r="K238" s="28">
        <v>392</v>
      </c>
      <c r="L238" s="67">
        <v>5907000</v>
      </c>
      <c r="M238" s="89"/>
      <c r="N238" s="84" t="e">
        <f t="shared" si="3"/>
        <v>#VALUE!</v>
      </c>
      <c r="O238" s="65"/>
      <c r="P238" s="65"/>
      <c r="Q238" s="65"/>
      <c r="R238" s="89"/>
      <c r="S238" s="89"/>
    </row>
    <row r="239" spans="1:19" ht="78.75" x14ac:dyDescent="0.25">
      <c r="A239" s="62" t="s">
        <v>912</v>
      </c>
      <c r="B239" s="50">
        <v>500145</v>
      </c>
      <c r="C239" s="77" t="s">
        <v>430</v>
      </c>
      <c r="D239" s="28" t="s">
        <v>432</v>
      </c>
      <c r="E239" s="28"/>
      <c r="F239" s="39" t="s">
        <v>588</v>
      </c>
      <c r="G239" s="28" t="s">
        <v>537</v>
      </c>
      <c r="H239" s="46" t="s">
        <v>694</v>
      </c>
      <c r="I239" s="65"/>
      <c r="J239" s="66"/>
      <c r="K239" s="28">
        <v>3021</v>
      </c>
      <c r="L239" s="67">
        <v>14496000</v>
      </c>
      <c r="M239" s="89"/>
      <c r="N239" s="84" t="e">
        <f t="shared" si="3"/>
        <v>#VALUE!</v>
      </c>
      <c r="O239" s="65"/>
      <c r="P239" s="65"/>
      <c r="Q239" s="65"/>
      <c r="R239" s="89"/>
      <c r="S239" s="89"/>
    </row>
    <row r="240" spans="1:19" ht="63" x14ac:dyDescent="0.25">
      <c r="A240" s="62" t="s">
        <v>913</v>
      </c>
      <c r="B240" s="50">
        <v>500145</v>
      </c>
      <c r="C240" s="77" t="s">
        <v>430</v>
      </c>
      <c r="D240" s="46" t="s">
        <v>431</v>
      </c>
      <c r="E240" s="46"/>
      <c r="F240" s="39" t="s">
        <v>650</v>
      </c>
      <c r="G240" s="28" t="s">
        <v>538</v>
      </c>
      <c r="H240" s="46" t="s">
        <v>686</v>
      </c>
      <c r="I240" s="65"/>
      <c r="J240" s="66"/>
      <c r="K240" s="28">
        <v>10000</v>
      </c>
      <c r="L240" s="67">
        <v>8130000</v>
      </c>
      <c r="M240" s="89"/>
      <c r="N240" s="84" t="e">
        <f t="shared" si="3"/>
        <v>#VALUE!</v>
      </c>
      <c r="O240" s="65"/>
      <c r="P240" s="65"/>
      <c r="Q240" s="65"/>
      <c r="R240" s="89"/>
      <c r="S240" s="89"/>
    </row>
    <row r="241" spans="1:19" ht="78.75" x14ac:dyDescent="0.25">
      <c r="A241" s="62" t="s">
        <v>296</v>
      </c>
      <c r="B241" s="10">
        <v>500301</v>
      </c>
      <c r="C241" s="1" t="s">
        <v>316</v>
      </c>
      <c r="D241" s="17" t="s">
        <v>317</v>
      </c>
      <c r="E241" s="17"/>
      <c r="F241" s="18" t="s">
        <v>521</v>
      </c>
      <c r="G241" s="28" t="s">
        <v>539</v>
      </c>
      <c r="H241" s="18" t="s">
        <v>514</v>
      </c>
      <c r="I241" s="18">
        <v>10</v>
      </c>
      <c r="J241" s="30">
        <v>860</v>
      </c>
      <c r="K241" s="30">
        <v>269</v>
      </c>
      <c r="L241" s="63">
        <v>13226000</v>
      </c>
      <c r="M241" s="89"/>
      <c r="N241" s="84" t="e">
        <f t="shared" si="3"/>
        <v>#VALUE!</v>
      </c>
      <c r="O241" s="65"/>
      <c r="P241" s="65"/>
      <c r="Q241" s="65"/>
      <c r="R241" s="89"/>
      <c r="S241" s="89"/>
    </row>
    <row r="242" spans="1:19" ht="63" x14ac:dyDescent="0.25">
      <c r="A242" s="62" t="s">
        <v>914</v>
      </c>
      <c r="B242" s="50">
        <v>500525</v>
      </c>
      <c r="C242" s="77" t="s">
        <v>492</v>
      </c>
      <c r="D242" s="28" t="s">
        <v>433</v>
      </c>
      <c r="E242" s="28"/>
      <c r="F242" s="39" t="s">
        <v>656</v>
      </c>
      <c r="G242" s="51" t="s">
        <v>541</v>
      </c>
      <c r="H242" s="55" t="s">
        <v>532</v>
      </c>
      <c r="I242" s="65"/>
      <c r="J242" s="66"/>
      <c r="K242" s="28">
        <v>414</v>
      </c>
      <c r="L242" s="67">
        <v>7821000</v>
      </c>
      <c r="M242" s="89"/>
      <c r="N242" s="84" t="e">
        <f t="shared" si="3"/>
        <v>#VALUE!</v>
      </c>
      <c r="O242" s="65"/>
      <c r="P242" s="65"/>
      <c r="Q242" s="65"/>
      <c r="R242" s="89"/>
      <c r="S242" s="89"/>
    </row>
    <row r="243" spans="1:19" ht="63" x14ac:dyDescent="0.25">
      <c r="A243" s="62" t="s">
        <v>298</v>
      </c>
      <c r="B243" s="10">
        <v>500525</v>
      </c>
      <c r="C243" s="1" t="s">
        <v>319</v>
      </c>
      <c r="D243" s="17" t="s">
        <v>320</v>
      </c>
      <c r="E243" s="17"/>
      <c r="F243" s="18" t="s">
        <v>521</v>
      </c>
      <c r="G243" s="28" t="s">
        <v>540</v>
      </c>
      <c r="H243" s="18" t="s">
        <v>514</v>
      </c>
      <c r="I243" s="17">
        <v>13</v>
      </c>
      <c r="J243" s="30">
        <v>200</v>
      </c>
      <c r="K243" s="30">
        <v>338</v>
      </c>
      <c r="L243" s="63">
        <v>15368000</v>
      </c>
      <c r="M243" s="89"/>
      <c r="N243" s="84" t="e">
        <f t="shared" si="3"/>
        <v>#VALUE!</v>
      </c>
      <c r="O243" s="65"/>
      <c r="P243" s="65"/>
      <c r="Q243" s="65"/>
      <c r="R243" s="89"/>
      <c r="S243" s="89"/>
    </row>
    <row r="244" spans="1:19" ht="63" x14ac:dyDescent="0.25">
      <c r="A244" s="62" t="s">
        <v>301</v>
      </c>
      <c r="B244" s="10">
        <v>500525</v>
      </c>
      <c r="C244" s="1" t="s">
        <v>319</v>
      </c>
      <c r="D244" s="17" t="s">
        <v>322</v>
      </c>
      <c r="E244" s="17"/>
      <c r="F244" s="18" t="s">
        <v>521</v>
      </c>
      <c r="G244" s="28" t="s">
        <v>542</v>
      </c>
      <c r="H244" s="18" t="s">
        <v>514</v>
      </c>
      <c r="I244" s="17">
        <v>37</v>
      </c>
      <c r="J244" s="30">
        <v>0</v>
      </c>
      <c r="K244" s="30">
        <v>184</v>
      </c>
      <c r="L244" s="63">
        <v>6351000</v>
      </c>
      <c r="M244" s="89"/>
      <c r="N244" s="84" t="e">
        <f t="shared" si="3"/>
        <v>#VALUE!</v>
      </c>
      <c r="O244" s="65"/>
      <c r="P244" s="65"/>
      <c r="Q244" s="65"/>
      <c r="R244" s="89"/>
      <c r="S244" s="89"/>
    </row>
    <row r="245" spans="1:19" ht="78.75" x14ac:dyDescent="0.25">
      <c r="A245" s="62" t="s">
        <v>305</v>
      </c>
      <c r="B245" s="10">
        <v>500528</v>
      </c>
      <c r="C245" s="1" t="s">
        <v>323</v>
      </c>
      <c r="D245" s="34" t="s">
        <v>326</v>
      </c>
      <c r="E245" s="34"/>
      <c r="F245" s="18" t="s">
        <v>521</v>
      </c>
      <c r="G245" s="28" t="s">
        <v>544</v>
      </c>
      <c r="H245" s="18" t="s">
        <v>514</v>
      </c>
      <c r="I245" s="17">
        <v>43</v>
      </c>
      <c r="J245" s="30">
        <v>227</v>
      </c>
      <c r="K245" s="30">
        <v>184</v>
      </c>
      <c r="L245" s="63">
        <v>10808000</v>
      </c>
      <c r="M245" s="89"/>
      <c r="N245" s="84" t="e">
        <f t="shared" si="3"/>
        <v>#VALUE!</v>
      </c>
      <c r="O245" s="65"/>
      <c r="P245" s="65"/>
      <c r="Q245" s="65"/>
      <c r="R245" s="89"/>
      <c r="S245" s="89"/>
    </row>
    <row r="246" spans="1:19" ht="63" x14ac:dyDescent="0.25">
      <c r="A246" s="62" t="s">
        <v>303</v>
      </c>
      <c r="B246" s="10">
        <v>500528</v>
      </c>
      <c r="C246" s="1" t="s">
        <v>325</v>
      </c>
      <c r="D246" s="28" t="s">
        <v>324</v>
      </c>
      <c r="E246" s="28"/>
      <c r="F246" s="18" t="s">
        <v>521</v>
      </c>
      <c r="G246" s="28" t="s">
        <v>543</v>
      </c>
      <c r="H246" s="18" t="s">
        <v>514</v>
      </c>
      <c r="I246" s="18">
        <v>10</v>
      </c>
      <c r="J246" s="30">
        <v>463</v>
      </c>
      <c r="K246" s="30">
        <v>134</v>
      </c>
      <c r="L246" s="63">
        <v>8390000</v>
      </c>
      <c r="M246" s="89"/>
      <c r="N246" s="84" t="e">
        <f t="shared" si="3"/>
        <v>#VALUE!</v>
      </c>
      <c r="O246" s="65"/>
      <c r="P246" s="65"/>
      <c r="Q246" s="65"/>
      <c r="R246" s="89"/>
      <c r="S246" s="89"/>
    </row>
    <row r="247" spans="1:19" ht="47.25" x14ac:dyDescent="0.25">
      <c r="A247" s="62" t="s">
        <v>915</v>
      </c>
      <c r="B247" s="28">
        <v>500626</v>
      </c>
      <c r="C247" s="77" t="s">
        <v>434</v>
      </c>
      <c r="D247" s="28" t="s">
        <v>435</v>
      </c>
      <c r="E247" s="28"/>
      <c r="F247" s="39" t="s">
        <v>656</v>
      </c>
      <c r="G247" s="28" t="s">
        <v>545</v>
      </c>
      <c r="H247" s="55" t="s">
        <v>513</v>
      </c>
      <c r="I247" s="65"/>
      <c r="J247" s="66"/>
      <c r="K247" s="41">
        <v>510</v>
      </c>
      <c r="L247" s="67">
        <v>1767000</v>
      </c>
      <c r="M247" s="89"/>
      <c r="N247" s="84" t="e">
        <f t="shared" si="3"/>
        <v>#VALUE!</v>
      </c>
      <c r="O247" s="65"/>
      <c r="P247" s="65"/>
      <c r="Q247" s="65"/>
      <c r="R247" s="89"/>
      <c r="S247" s="89"/>
    </row>
    <row r="248" spans="1:19" ht="47.25" x14ac:dyDescent="0.25">
      <c r="A248" s="62" t="s">
        <v>916</v>
      </c>
      <c r="B248" s="17">
        <v>501056</v>
      </c>
      <c r="C248" s="78" t="s">
        <v>436</v>
      </c>
      <c r="D248" s="37" t="s">
        <v>547</v>
      </c>
      <c r="E248" s="37"/>
      <c r="F248" s="39" t="s">
        <v>657</v>
      </c>
      <c r="G248" s="35" t="s">
        <v>548</v>
      </c>
      <c r="H248" s="46" t="s">
        <v>514</v>
      </c>
      <c r="I248" s="65"/>
      <c r="J248" s="66"/>
      <c r="K248" s="41">
        <v>156</v>
      </c>
      <c r="L248" s="67">
        <v>3999000</v>
      </c>
      <c r="M248" s="89"/>
      <c r="N248" s="84" t="e">
        <f t="shared" si="3"/>
        <v>#VALUE!</v>
      </c>
      <c r="O248" s="65"/>
      <c r="P248" s="65"/>
      <c r="Q248" s="65"/>
      <c r="R248" s="89"/>
      <c r="S248" s="89"/>
    </row>
    <row r="249" spans="1:19" ht="47.25" x14ac:dyDescent="0.25">
      <c r="A249" s="62" t="s">
        <v>917</v>
      </c>
      <c r="B249" s="17">
        <v>501056</v>
      </c>
      <c r="C249" s="78" t="s">
        <v>436</v>
      </c>
      <c r="D249" s="37" t="s">
        <v>549</v>
      </c>
      <c r="E249" s="37"/>
      <c r="F249" s="39" t="s">
        <v>657</v>
      </c>
      <c r="G249" s="35" t="s">
        <v>550</v>
      </c>
      <c r="H249" s="46" t="s">
        <v>514</v>
      </c>
      <c r="I249" s="65"/>
      <c r="J249" s="66"/>
      <c r="K249" s="41">
        <v>147</v>
      </c>
      <c r="L249" s="67">
        <v>3916000</v>
      </c>
      <c r="M249" s="89"/>
      <c r="N249" s="84" t="e">
        <f t="shared" si="3"/>
        <v>#VALUE!</v>
      </c>
      <c r="O249" s="65"/>
      <c r="P249" s="65"/>
      <c r="Q249" s="65"/>
      <c r="R249" s="89"/>
      <c r="S249" s="89"/>
    </row>
    <row r="250" spans="1:19" ht="47.25" x14ac:dyDescent="0.25">
      <c r="A250" s="62" t="s">
        <v>918</v>
      </c>
      <c r="B250" s="17">
        <v>501056</v>
      </c>
      <c r="C250" s="78" t="s">
        <v>436</v>
      </c>
      <c r="D250" s="37" t="s">
        <v>551</v>
      </c>
      <c r="E250" s="37"/>
      <c r="F250" s="39" t="s">
        <v>657</v>
      </c>
      <c r="G250" s="35" t="s">
        <v>552</v>
      </c>
      <c r="H250" s="46" t="s">
        <v>514</v>
      </c>
      <c r="I250" s="65"/>
      <c r="J250" s="66"/>
      <c r="K250" s="41">
        <v>147</v>
      </c>
      <c r="L250" s="67">
        <v>3822000</v>
      </c>
      <c r="M250" s="89"/>
      <c r="N250" s="84" t="e">
        <f t="shared" si="3"/>
        <v>#VALUE!</v>
      </c>
      <c r="O250" s="65"/>
      <c r="P250" s="65"/>
      <c r="Q250" s="65"/>
      <c r="R250" s="89"/>
      <c r="S250" s="89"/>
    </row>
    <row r="251" spans="1:19" ht="47.25" x14ac:dyDescent="0.25">
      <c r="A251" s="62" t="s">
        <v>919</v>
      </c>
      <c r="B251" s="17">
        <v>501056</v>
      </c>
      <c r="C251" s="78" t="s">
        <v>436</v>
      </c>
      <c r="D251" s="37" t="s">
        <v>553</v>
      </c>
      <c r="E251" s="37"/>
      <c r="F251" s="39" t="s">
        <v>657</v>
      </c>
      <c r="G251" s="35" t="s">
        <v>554</v>
      </c>
      <c r="H251" s="46" t="s">
        <v>514</v>
      </c>
      <c r="I251" s="65"/>
      <c r="J251" s="66"/>
      <c r="K251" s="41">
        <v>156</v>
      </c>
      <c r="L251" s="67">
        <v>4054000</v>
      </c>
      <c r="M251" s="89"/>
      <c r="N251" s="84" t="e">
        <f t="shared" si="3"/>
        <v>#VALUE!</v>
      </c>
      <c r="O251" s="65"/>
      <c r="P251" s="65"/>
      <c r="Q251" s="65"/>
      <c r="R251" s="89"/>
      <c r="S251" s="89"/>
    </row>
    <row r="252" spans="1:19" ht="47.25" x14ac:dyDescent="0.25">
      <c r="A252" s="62" t="s">
        <v>920</v>
      </c>
      <c r="B252" s="17">
        <v>501056</v>
      </c>
      <c r="C252" s="78" t="s">
        <v>436</v>
      </c>
      <c r="D252" s="37" t="s">
        <v>555</v>
      </c>
      <c r="E252" s="37"/>
      <c r="F252" s="39" t="s">
        <v>657</v>
      </c>
      <c r="G252" s="35" t="s">
        <v>556</v>
      </c>
      <c r="H252" s="46" t="s">
        <v>514</v>
      </c>
      <c r="I252" s="65"/>
      <c r="J252" s="66"/>
      <c r="K252" s="41">
        <v>147</v>
      </c>
      <c r="L252" s="67">
        <v>3738000</v>
      </c>
      <c r="M252" s="89"/>
      <c r="N252" s="84" t="e">
        <f t="shared" si="3"/>
        <v>#VALUE!</v>
      </c>
      <c r="O252" s="65"/>
      <c r="P252" s="65"/>
      <c r="Q252" s="65"/>
      <c r="R252" s="89"/>
      <c r="S252" s="89"/>
    </row>
    <row r="253" spans="1:19" ht="63" x14ac:dyDescent="0.25">
      <c r="A253" s="62" t="s">
        <v>311</v>
      </c>
      <c r="B253" s="6">
        <v>501280</v>
      </c>
      <c r="C253" s="1" t="s">
        <v>331</v>
      </c>
      <c r="D253" s="17" t="s">
        <v>332</v>
      </c>
      <c r="E253" s="17"/>
      <c r="F253" s="18" t="s">
        <v>521</v>
      </c>
      <c r="G253" s="28" t="s">
        <v>707</v>
      </c>
      <c r="H253" s="18" t="s">
        <v>514</v>
      </c>
      <c r="I253" s="19" t="s">
        <v>3</v>
      </c>
      <c r="J253" s="30" t="s">
        <v>3</v>
      </c>
      <c r="K253" s="30">
        <v>113</v>
      </c>
      <c r="L253" s="63">
        <v>6768000</v>
      </c>
      <c r="M253" s="89"/>
      <c r="N253" s="84" t="e">
        <f t="shared" si="3"/>
        <v>#VALUE!</v>
      </c>
      <c r="O253" s="65"/>
      <c r="P253" s="65"/>
      <c r="Q253" s="65"/>
      <c r="R253" s="89"/>
      <c r="S253" s="89"/>
    </row>
    <row r="254" spans="1:19" ht="47.25" x14ac:dyDescent="0.25">
      <c r="A254" s="62" t="s">
        <v>921</v>
      </c>
      <c r="B254" s="28">
        <v>501427</v>
      </c>
      <c r="C254" s="77" t="s">
        <v>437</v>
      </c>
      <c r="D254" s="38" t="s">
        <v>557</v>
      </c>
      <c r="E254" s="38"/>
      <c r="F254" s="39" t="s">
        <v>657</v>
      </c>
      <c r="G254" s="28" t="s">
        <v>558</v>
      </c>
      <c r="H254" s="46" t="s">
        <v>513</v>
      </c>
      <c r="I254" s="65"/>
      <c r="J254" s="66"/>
      <c r="K254" s="41">
        <v>20400</v>
      </c>
      <c r="L254" s="67">
        <v>17054000</v>
      </c>
      <c r="M254" s="89"/>
      <c r="N254" s="84" t="e">
        <f t="shared" si="3"/>
        <v>#VALUE!</v>
      </c>
      <c r="O254" s="65"/>
      <c r="P254" s="65"/>
      <c r="Q254" s="65"/>
      <c r="R254" s="89"/>
      <c r="S254" s="89"/>
    </row>
    <row r="255" spans="1:19" ht="47.25" x14ac:dyDescent="0.25">
      <c r="A255" s="62" t="s">
        <v>922</v>
      </c>
      <c r="B255" s="28">
        <v>501427</v>
      </c>
      <c r="C255" s="77" t="s">
        <v>437</v>
      </c>
      <c r="D255" s="38" t="s">
        <v>559</v>
      </c>
      <c r="E255" s="38"/>
      <c r="F255" s="39" t="s">
        <v>657</v>
      </c>
      <c r="G255" s="28" t="s">
        <v>558</v>
      </c>
      <c r="H255" s="46" t="s">
        <v>513</v>
      </c>
      <c r="I255" s="65"/>
      <c r="J255" s="66"/>
      <c r="K255" s="28">
        <v>15300</v>
      </c>
      <c r="L255" s="67">
        <v>11312000</v>
      </c>
      <c r="M255" s="89"/>
      <c r="N255" s="84" t="e">
        <f t="shared" si="3"/>
        <v>#VALUE!</v>
      </c>
      <c r="O255" s="65"/>
      <c r="P255" s="65"/>
      <c r="Q255" s="65"/>
      <c r="R255" s="89"/>
      <c r="S255" s="89"/>
    </row>
    <row r="256" spans="1:19" ht="47.25" x14ac:dyDescent="0.25">
      <c r="A256" s="62" t="s">
        <v>923</v>
      </c>
      <c r="B256" s="28">
        <v>501427</v>
      </c>
      <c r="C256" s="77" t="s">
        <v>437</v>
      </c>
      <c r="D256" s="38" t="s">
        <v>560</v>
      </c>
      <c r="E256" s="38"/>
      <c r="F256" s="39" t="s">
        <v>657</v>
      </c>
      <c r="G256" s="28" t="s">
        <v>558</v>
      </c>
      <c r="H256" s="46" t="s">
        <v>513</v>
      </c>
      <c r="I256" s="65"/>
      <c r="J256" s="66"/>
      <c r="K256" s="28">
        <v>29150</v>
      </c>
      <c r="L256" s="67">
        <v>19796000</v>
      </c>
      <c r="M256" s="89"/>
      <c r="N256" s="84" t="e">
        <f t="shared" si="3"/>
        <v>#VALUE!</v>
      </c>
      <c r="O256" s="65"/>
      <c r="P256" s="65"/>
      <c r="Q256" s="65"/>
      <c r="R256" s="89"/>
      <c r="S256" s="89"/>
    </row>
    <row r="257" spans="1:19" ht="47.25" x14ac:dyDescent="0.25">
      <c r="A257" s="62" t="s">
        <v>924</v>
      </c>
      <c r="B257" s="28">
        <v>501427</v>
      </c>
      <c r="C257" s="77" t="s">
        <v>437</v>
      </c>
      <c r="D257" s="38" t="s">
        <v>561</v>
      </c>
      <c r="E257" s="38"/>
      <c r="F257" s="39" t="s">
        <v>657</v>
      </c>
      <c r="G257" s="28" t="s">
        <v>558</v>
      </c>
      <c r="H257" s="46" t="s">
        <v>513</v>
      </c>
      <c r="I257" s="65"/>
      <c r="J257" s="66"/>
      <c r="K257" s="28">
        <v>19100</v>
      </c>
      <c r="L257" s="67">
        <v>14976000</v>
      </c>
      <c r="M257" s="89"/>
      <c r="N257" s="84" t="e">
        <f t="shared" si="3"/>
        <v>#VALUE!</v>
      </c>
      <c r="O257" s="65"/>
      <c r="P257" s="65"/>
      <c r="Q257" s="65"/>
      <c r="R257" s="89"/>
      <c r="S257" s="89"/>
    </row>
    <row r="258" spans="1:19" ht="47.25" x14ac:dyDescent="0.25">
      <c r="A258" s="62" t="s">
        <v>925</v>
      </c>
      <c r="B258" s="28">
        <v>501427</v>
      </c>
      <c r="C258" s="77" t="s">
        <v>437</v>
      </c>
      <c r="D258" s="38" t="s">
        <v>562</v>
      </c>
      <c r="E258" s="38"/>
      <c r="F258" s="39" t="s">
        <v>657</v>
      </c>
      <c r="G258" s="28" t="s">
        <v>558</v>
      </c>
      <c r="H258" s="46" t="s">
        <v>513</v>
      </c>
      <c r="I258" s="65"/>
      <c r="J258" s="66"/>
      <c r="K258" s="28">
        <v>25700</v>
      </c>
      <c r="L258" s="67">
        <v>17967000</v>
      </c>
      <c r="M258" s="89"/>
      <c r="N258" s="84" t="e">
        <f t="shared" ref="N258:N266" si="4">_xlfn.LET(
  _xlpm.y,VALUE(RIGHT(M258,4)),
  _xlpm.m,VALUE(MID(M258,4,2)),
  _xlpm.d,VALUE(LEFT(M258,2)),
  _xlpm.doy,IF(_xlpm.m&lt;=6,(_xlpm.m-1)*31+_xlpm.d,186+(_xlpm.m-7)*30+_xlpm.d),
  _xlpm.jdn,1948320+(_xlpm.y-1)*365+INT(((_xlpm.y-1)*8+21)/33)+_xlpm.doy,
  _xlpm.jdn-2415020
)</f>
        <v>#VALUE!</v>
      </c>
      <c r="O258" s="65"/>
      <c r="P258" s="65"/>
      <c r="Q258" s="65"/>
      <c r="R258" s="89"/>
      <c r="S258" s="89"/>
    </row>
    <row r="259" spans="1:19" ht="47.25" x14ac:dyDescent="0.25">
      <c r="A259" s="62" t="s">
        <v>315</v>
      </c>
      <c r="B259" s="6">
        <v>501444</v>
      </c>
      <c r="C259" s="1" t="s">
        <v>306</v>
      </c>
      <c r="D259" s="17" t="s">
        <v>307</v>
      </c>
      <c r="E259" s="17"/>
      <c r="F259" s="18" t="s">
        <v>521</v>
      </c>
      <c r="G259" s="28" t="s">
        <v>563</v>
      </c>
      <c r="H259" s="17" t="s">
        <v>514</v>
      </c>
      <c r="I259" s="17">
        <v>21</v>
      </c>
      <c r="J259" s="30">
        <v>300.14999999999998</v>
      </c>
      <c r="K259" s="30">
        <v>272</v>
      </c>
      <c r="L259" s="63">
        <v>5990000</v>
      </c>
      <c r="M259" s="89"/>
      <c r="N259" s="84" t="e">
        <f t="shared" si="4"/>
        <v>#VALUE!</v>
      </c>
      <c r="O259" s="65"/>
      <c r="P259" s="65"/>
      <c r="Q259" s="65"/>
      <c r="R259" s="89"/>
      <c r="S259" s="89"/>
    </row>
    <row r="260" spans="1:19" ht="78.75" x14ac:dyDescent="0.25">
      <c r="A260" s="62" t="s">
        <v>318</v>
      </c>
      <c r="B260" s="6">
        <v>501801</v>
      </c>
      <c r="C260" s="1" t="s">
        <v>329</v>
      </c>
      <c r="D260" s="17" t="s">
        <v>330</v>
      </c>
      <c r="E260" s="17"/>
      <c r="F260" s="18" t="s">
        <v>521</v>
      </c>
      <c r="G260" s="35" t="s">
        <v>564</v>
      </c>
      <c r="H260" s="18" t="s">
        <v>514</v>
      </c>
      <c r="I260" s="19" t="s">
        <v>3</v>
      </c>
      <c r="J260" s="30" t="s">
        <v>3</v>
      </c>
      <c r="K260" s="30">
        <v>146</v>
      </c>
      <c r="L260" s="63">
        <v>11854000</v>
      </c>
      <c r="M260" s="89"/>
      <c r="N260" s="84" t="e">
        <f t="shared" si="4"/>
        <v>#VALUE!</v>
      </c>
      <c r="O260" s="65"/>
      <c r="P260" s="65"/>
      <c r="Q260" s="65"/>
      <c r="R260" s="89"/>
      <c r="S260" s="89"/>
    </row>
    <row r="261" spans="1:19" ht="47.25" x14ac:dyDescent="0.25">
      <c r="A261" s="62" t="s">
        <v>926</v>
      </c>
      <c r="B261" s="17">
        <v>501857</v>
      </c>
      <c r="C261" s="78" t="s">
        <v>438</v>
      </c>
      <c r="D261" s="17" t="s">
        <v>439</v>
      </c>
      <c r="E261" s="17"/>
      <c r="F261" s="39" t="s">
        <v>520</v>
      </c>
      <c r="G261" s="28" t="s">
        <v>703</v>
      </c>
      <c r="H261" s="46" t="s">
        <v>514</v>
      </c>
      <c r="I261" s="65"/>
      <c r="J261" s="66"/>
      <c r="K261" s="28">
        <v>192</v>
      </c>
      <c r="L261" s="67">
        <v>4116000</v>
      </c>
      <c r="M261" s="89"/>
      <c r="N261" s="84" t="e">
        <f t="shared" si="4"/>
        <v>#VALUE!</v>
      </c>
      <c r="O261" s="65"/>
      <c r="P261" s="65"/>
      <c r="Q261" s="65"/>
      <c r="R261" s="89"/>
      <c r="S261" s="89"/>
    </row>
    <row r="262" spans="1:19" ht="47.25" x14ac:dyDescent="0.25">
      <c r="A262" s="62" t="s">
        <v>927</v>
      </c>
      <c r="B262" s="17">
        <v>501857</v>
      </c>
      <c r="C262" s="78" t="s">
        <v>438</v>
      </c>
      <c r="D262" s="17" t="s">
        <v>440</v>
      </c>
      <c r="E262" s="17"/>
      <c r="F262" s="39" t="s">
        <v>520</v>
      </c>
      <c r="G262" s="28" t="s">
        <v>704</v>
      </c>
      <c r="H262" s="46" t="s">
        <v>514</v>
      </c>
      <c r="I262" s="65"/>
      <c r="J262" s="66"/>
      <c r="K262" s="28">
        <v>114</v>
      </c>
      <c r="L262" s="67">
        <v>2548000</v>
      </c>
      <c r="M262" s="89"/>
      <c r="N262" s="84" t="e">
        <f t="shared" si="4"/>
        <v>#VALUE!</v>
      </c>
      <c r="O262" s="65"/>
      <c r="P262" s="65"/>
      <c r="Q262" s="65"/>
      <c r="R262" s="89"/>
      <c r="S262" s="89"/>
    </row>
    <row r="263" spans="1:19" ht="47.25" x14ac:dyDescent="0.25">
      <c r="A263" s="62" t="s">
        <v>928</v>
      </c>
      <c r="B263" s="17">
        <v>501857</v>
      </c>
      <c r="C263" s="78" t="s">
        <v>438</v>
      </c>
      <c r="D263" s="17" t="s">
        <v>441</v>
      </c>
      <c r="E263" s="17"/>
      <c r="F263" s="39" t="s">
        <v>520</v>
      </c>
      <c r="G263" s="28" t="s">
        <v>704</v>
      </c>
      <c r="H263" s="46" t="s">
        <v>514</v>
      </c>
      <c r="I263" s="65"/>
      <c r="J263" s="66"/>
      <c r="K263" s="28">
        <v>115</v>
      </c>
      <c r="L263" s="67">
        <v>2744000</v>
      </c>
      <c r="M263" s="89"/>
      <c r="N263" s="84" t="e">
        <f t="shared" si="4"/>
        <v>#VALUE!</v>
      </c>
      <c r="O263" s="65"/>
      <c r="P263" s="65"/>
      <c r="Q263" s="65"/>
      <c r="R263" s="89"/>
      <c r="S263" s="89"/>
    </row>
    <row r="264" spans="1:19" ht="47.25" x14ac:dyDescent="0.25">
      <c r="A264" s="62" t="s">
        <v>929</v>
      </c>
      <c r="B264" s="3">
        <v>501857</v>
      </c>
      <c r="C264" s="1" t="s">
        <v>438</v>
      </c>
      <c r="D264" s="3" t="s">
        <v>442</v>
      </c>
      <c r="E264" s="3"/>
      <c r="F264" s="39" t="s">
        <v>520</v>
      </c>
      <c r="G264" s="28" t="s">
        <v>705</v>
      </c>
      <c r="H264" s="48" t="s">
        <v>514</v>
      </c>
      <c r="I264" s="65"/>
      <c r="J264" s="66"/>
      <c r="K264" s="41">
        <v>114</v>
      </c>
      <c r="L264" s="67">
        <v>2548000</v>
      </c>
      <c r="M264" s="89"/>
      <c r="N264" s="84" t="e">
        <f t="shared" si="4"/>
        <v>#VALUE!</v>
      </c>
      <c r="O264" s="65"/>
      <c r="P264" s="65"/>
      <c r="Q264" s="65"/>
      <c r="R264" s="89"/>
      <c r="S264" s="89"/>
    </row>
    <row r="265" spans="1:19" ht="47.25" x14ac:dyDescent="0.25">
      <c r="A265" s="62" t="s">
        <v>930</v>
      </c>
      <c r="B265" s="3">
        <v>501857</v>
      </c>
      <c r="C265" s="1" t="s">
        <v>438</v>
      </c>
      <c r="D265" s="3" t="s">
        <v>443</v>
      </c>
      <c r="E265" s="3"/>
      <c r="F265" s="39" t="s">
        <v>520</v>
      </c>
      <c r="G265" s="28" t="s">
        <v>705</v>
      </c>
      <c r="H265" s="48" t="s">
        <v>514</v>
      </c>
      <c r="I265" s="65"/>
      <c r="J265" s="66"/>
      <c r="K265" s="41">
        <v>115</v>
      </c>
      <c r="L265" s="67">
        <v>2646000</v>
      </c>
      <c r="M265" s="89"/>
      <c r="N265" s="84" t="e">
        <f t="shared" si="4"/>
        <v>#VALUE!</v>
      </c>
      <c r="O265" s="65"/>
      <c r="P265" s="65"/>
      <c r="Q265" s="65"/>
      <c r="R265" s="89"/>
      <c r="S265" s="89"/>
    </row>
    <row r="266" spans="1:19" ht="63" x14ac:dyDescent="0.25">
      <c r="A266" s="62" t="s">
        <v>321</v>
      </c>
      <c r="B266" s="6">
        <v>501860</v>
      </c>
      <c r="C266" s="1" t="s">
        <v>309</v>
      </c>
      <c r="D266" s="17" t="s">
        <v>310</v>
      </c>
      <c r="E266" s="17"/>
      <c r="F266" s="18" t="s">
        <v>521</v>
      </c>
      <c r="G266" s="64" t="s">
        <v>518</v>
      </c>
      <c r="H266" s="17" t="s">
        <v>514</v>
      </c>
      <c r="I266" s="19" t="s">
        <v>3</v>
      </c>
      <c r="J266" s="30" t="s">
        <v>3</v>
      </c>
      <c r="K266" s="30">
        <v>137</v>
      </c>
      <c r="L266" s="63">
        <v>4130000</v>
      </c>
      <c r="M266" s="89"/>
      <c r="N266" s="84" t="e">
        <f t="shared" si="4"/>
        <v>#VALUE!</v>
      </c>
      <c r="O266" s="65"/>
      <c r="P266" s="65"/>
      <c r="Q266" s="65"/>
      <c r="R266" s="89"/>
      <c r="S266" s="89"/>
    </row>
  </sheetData>
  <autoFilter ref="A1:S266" xr:uid="{00000000-0001-0000-0000-000000000000}">
    <sortState xmlns:xlrd2="http://schemas.microsoft.com/office/spreadsheetml/2017/richdata2" ref="A2:S266">
      <sortCondition sortBy="cellColor" ref="A1:A266" dxfId="17"/>
    </sortState>
  </autoFilter>
  <sortState xmlns:xlrd2="http://schemas.microsoft.com/office/spreadsheetml/2017/richdata2" ref="A2:L145">
    <sortCondition ref="B2:B145"/>
    <sortCondition ref="D2:D145"/>
  </sortState>
  <phoneticPr fontId="6" type="noConversion"/>
  <conditionalFormatting sqref="G103:G109 G133:G145 G39:G46 G2:G10 G28:G37 G12:G23">
    <cfRule type="containsBlanks" dxfId="16" priority="24">
      <formula>LEN(TRIM(G2))=0</formula>
    </cfRule>
  </conditionalFormatting>
  <conditionalFormatting sqref="D110:E124">
    <cfRule type="duplicateValues" dxfId="15" priority="23"/>
  </conditionalFormatting>
  <conditionalFormatting sqref="D125:E125">
    <cfRule type="duplicateValues" dxfId="14" priority="22"/>
  </conditionalFormatting>
  <conditionalFormatting sqref="G38">
    <cfRule type="containsBlanks" dxfId="13" priority="17">
      <formula>LEN(TRIM(G38))=0</formula>
    </cfRule>
  </conditionalFormatting>
  <conditionalFormatting sqref="G27">
    <cfRule type="containsBlanks" dxfId="12" priority="15">
      <formula>LEN(TRIM(G27))=0</formula>
    </cfRule>
  </conditionalFormatting>
  <conditionalFormatting sqref="G25:G26">
    <cfRule type="containsBlanks" dxfId="11" priority="14">
      <formula>LEN(TRIM(G25))=0</formula>
    </cfRule>
  </conditionalFormatting>
  <conditionalFormatting sqref="G11">
    <cfRule type="containsBlanks" dxfId="10" priority="13">
      <formula>LEN(TRIM(G11))=0</formula>
    </cfRule>
  </conditionalFormatting>
  <conditionalFormatting sqref="G24">
    <cfRule type="containsBlanks" dxfId="9" priority="12">
      <formula>LEN(TRIM(G24))=0</formula>
    </cfRule>
  </conditionalFormatting>
  <conditionalFormatting sqref="G175:G198">
    <cfRule type="containsBlanks" dxfId="8" priority="4">
      <formula>LEN(TRIM(G175))=0</formula>
    </cfRule>
  </conditionalFormatting>
  <conditionalFormatting sqref="G146:G150 G157:G160 G152:G155 G167:G168 G162:G163 G165 G245:G261">
    <cfRule type="containsBlanks" dxfId="7" priority="11">
      <formula>LEN(TRIM(G146))=0</formula>
    </cfRule>
  </conditionalFormatting>
  <conditionalFormatting sqref="G262:G266">
    <cfRule type="containsBlanks" dxfId="6" priority="10">
      <formula>LEN(TRIM(G262))=0</formula>
    </cfRule>
  </conditionalFormatting>
  <conditionalFormatting sqref="G151">
    <cfRule type="containsBlanks" dxfId="5" priority="9">
      <formula>LEN(TRIM(G151))=0</formula>
    </cfRule>
  </conditionalFormatting>
  <conditionalFormatting sqref="G156">
    <cfRule type="containsBlanks" dxfId="4" priority="8">
      <formula>LEN(TRIM(G156))=0</formula>
    </cfRule>
  </conditionalFormatting>
  <conditionalFormatting sqref="G166">
    <cfRule type="containsBlanks" dxfId="3" priority="7">
      <formula>LEN(TRIM(G166))=0</formula>
    </cfRule>
  </conditionalFormatting>
  <conditionalFormatting sqref="G161">
    <cfRule type="containsBlanks" dxfId="2" priority="6">
      <formula>LEN(TRIM(G161))=0</formula>
    </cfRule>
  </conditionalFormatting>
  <conditionalFormatting sqref="G164">
    <cfRule type="containsBlanks" dxfId="1" priority="5">
      <formula>LEN(TRIM(G164))=0</formula>
    </cfRule>
  </conditionalFormatting>
  <conditionalFormatting sqref="N2:N266">
    <cfRule type="cellIs" dxfId="0" priority="2" operator="lessThan">
      <formula>TODAY()+10</formula>
    </cfRule>
  </conditionalFormatting>
  <printOptions horizontalCentered="1" verticalCentered="1"/>
  <pageMargins left="0" right="0" top="0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IRAN</vt:lpstr>
      <vt:lpstr>IRAN!Print_Titles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 Hatam Nezhad</dc:creator>
  <cp:lastModifiedBy>Mahdi Ghandi</cp:lastModifiedBy>
  <cp:lastPrinted>2025-11-17T10:32:20Z</cp:lastPrinted>
  <dcterms:created xsi:type="dcterms:W3CDTF">2025-11-11T06:53:02Z</dcterms:created>
  <dcterms:modified xsi:type="dcterms:W3CDTF">2026-01-03T09:09:07Z</dcterms:modified>
</cp:coreProperties>
</file>